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sa\cc-ncalc-api\public\client\public\"/>
    </mc:Choice>
  </mc:AlternateContent>
  <xr:revisionPtr revIDLastSave="0" documentId="13_ncr:1_{75F342DB-8918-49D3-B957-D51D44DA2A63}" xr6:coauthVersionLast="47" xr6:coauthVersionMax="47" xr10:uidLastSave="{00000000-0000-0000-0000-000000000000}"/>
  <bookViews>
    <workbookView xWindow="-120" yWindow="-120" windowWidth="29040" windowHeight="15720" activeTab="1" xr2:uid="{F5428B8B-E589-4FF0-9172-C6D3B2DD654D}"/>
  </bookViews>
  <sheets>
    <sheet name="Data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</calcChain>
</file>

<file path=xl/sharedStrings.xml><?xml version="1.0" encoding="utf-8"?>
<sst xmlns="http://schemas.openxmlformats.org/spreadsheetml/2006/main" count="704" uniqueCount="190">
  <si>
    <t>Barley</t>
  </si>
  <si>
    <t>ULW</t>
  </si>
  <si>
    <t>ELP</t>
  </si>
  <si>
    <t>BJD</t>
  </si>
  <si>
    <t>GFU</t>
  </si>
  <si>
    <t>Cereal Rye</t>
  </si>
  <si>
    <t>ZZN</t>
  </si>
  <si>
    <t>ABZ</t>
  </si>
  <si>
    <t>AWP</t>
  </si>
  <si>
    <t>BGP</t>
  </si>
  <si>
    <t>COE</t>
  </si>
  <si>
    <t>DGF</t>
  </si>
  <si>
    <t>EBT</t>
  </si>
  <si>
    <t>ECP</t>
  </si>
  <si>
    <t>ERU</t>
  </si>
  <si>
    <t>FLZ</t>
  </si>
  <si>
    <t>FMT</t>
  </si>
  <si>
    <t>GMG</t>
  </si>
  <si>
    <t>HFC</t>
  </si>
  <si>
    <t>IVU</t>
  </si>
  <si>
    <t>KCF</t>
  </si>
  <si>
    <t>KCW</t>
  </si>
  <si>
    <t>LAB</t>
  </si>
  <si>
    <t>LAC</t>
  </si>
  <si>
    <t>LHM</t>
  </si>
  <si>
    <t>LZU</t>
  </si>
  <si>
    <t>MKD</t>
  </si>
  <si>
    <t>NMO</t>
  </si>
  <si>
    <t>NSF</t>
  </si>
  <si>
    <t>NSL</t>
  </si>
  <si>
    <t>OZT</t>
  </si>
  <si>
    <t>PQY</t>
  </si>
  <si>
    <t>QKZ</t>
  </si>
  <si>
    <t>RKT</t>
  </si>
  <si>
    <t>SOW</t>
  </si>
  <si>
    <t>SRY</t>
  </si>
  <si>
    <t>SRZ</t>
  </si>
  <si>
    <t>TXE</t>
  </si>
  <si>
    <t>UCG</t>
  </si>
  <si>
    <t>UCT</t>
  </si>
  <si>
    <t>UFH</t>
  </si>
  <si>
    <t>URF</t>
  </si>
  <si>
    <t>VYG</t>
  </si>
  <si>
    <t>WBD</t>
  </si>
  <si>
    <t>WBS</t>
  </si>
  <si>
    <t>WYE</t>
  </si>
  <si>
    <t>YAT</t>
  </si>
  <si>
    <t>YBR</t>
  </si>
  <si>
    <t>YVX</t>
  </si>
  <si>
    <t>ZSB</t>
  </si>
  <si>
    <t>BRW</t>
  </si>
  <si>
    <t>CJA</t>
  </si>
  <si>
    <t>Hairy Vetch</t>
  </si>
  <si>
    <t>HGI</t>
  </si>
  <si>
    <t>Oats/Black Oats</t>
  </si>
  <si>
    <t>TOX</t>
  </si>
  <si>
    <t>AMD</t>
  </si>
  <si>
    <t>Ryegrass</t>
  </si>
  <si>
    <t>BRL</t>
  </si>
  <si>
    <t>BGS</t>
  </si>
  <si>
    <t>TKC</t>
  </si>
  <si>
    <t>ZRI</t>
  </si>
  <si>
    <t>Triticale</t>
  </si>
  <si>
    <t>SCF</t>
  </si>
  <si>
    <t>DNY</t>
  </si>
  <si>
    <t>OOA</t>
  </si>
  <si>
    <t>Wheat</t>
  </si>
  <si>
    <t>RGE</t>
  </si>
  <si>
    <t>XFS</t>
  </si>
  <si>
    <t>YLT</t>
  </si>
  <si>
    <t>SGK</t>
  </si>
  <si>
    <t>WEU</t>
  </si>
  <si>
    <t>BBS</t>
  </si>
  <si>
    <t>IFC</t>
  </si>
  <si>
    <t>SSA</t>
  </si>
  <si>
    <t>SSB</t>
  </si>
  <si>
    <t>TCA</t>
  </si>
  <si>
    <t>TCB</t>
  </si>
  <si>
    <t>TCC</t>
  </si>
  <si>
    <t>TCD</t>
  </si>
  <si>
    <t>LRH</t>
  </si>
  <si>
    <t>TCE</t>
  </si>
  <si>
    <t>TCF</t>
  </si>
  <si>
    <t>TKA</t>
  </si>
  <si>
    <t>TKD</t>
  </si>
  <si>
    <t>OJW</t>
  </si>
  <si>
    <t>PID</t>
  </si>
  <si>
    <t>VWD</t>
  </si>
  <si>
    <t>QAS</t>
  </si>
  <si>
    <t>BZW</t>
  </si>
  <si>
    <t>QHS</t>
  </si>
  <si>
    <t>CJL</t>
  </si>
  <si>
    <t>CRD</t>
  </si>
  <si>
    <t>CRK</t>
  </si>
  <si>
    <t>CSA</t>
  </si>
  <si>
    <t>DCN</t>
  </si>
  <si>
    <t>QLR</t>
  </si>
  <si>
    <t>latitude</t>
  </si>
  <si>
    <t>longitude</t>
  </si>
  <si>
    <t>code</t>
  </si>
  <si>
    <t>subplot</t>
  </si>
  <si>
    <t>fat</t>
  </si>
  <si>
    <t>cp</t>
  </si>
  <si>
    <t>ash</t>
  </si>
  <si>
    <t>adf</t>
  </si>
  <si>
    <t>ndf</t>
  </si>
  <si>
    <t>lignin</t>
  </si>
  <si>
    <t>nfc</t>
  </si>
  <si>
    <t>species</t>
  </si>
  <si>
    <t>planting_date</t>
  </si>
  <si>
    <t>termination_date</t>
  </si>
  <si>
    <t>cellulose</t>
  </si>
  <si>
    <t>carb</t>
  </si>
  <si>
    <t>FROM (</t>
  </si>
  <si>
    <t xml:space="preserve">  SELECT * FROM cc_mixture a</t>
  </si>
  <si>
    <t xml:space="preserve">  WHERE code IN (</t>
  </si>
  <si>
    <t xml:space="preserve">  )</t>
  </si>
  <si>
    <t>) a</t>
  </si>
  <si>
    <t>INNER JOIN (</t>
  </si>
  <si>
    <t xml:space="preserve">  SELECT * FROM biomass_nir</t>
  </si>
  <si>
    <t xml:space="preserve">  WHERE percent_fat &lt;&gt; -999</t>
  </si>
  <si>
    <t>) b</t>
  </si>
  <si>
    <t>USING (code)</t>
  </si>
  <si>
    <t xml:space="preserve">  SELECT * FROM farm_history</t>
  </si>
  <si>
    <t xml:space="preserve">  WHERE cc_planting_date &gt; '2000-01-01'</t>
  </si>
  <si>
    <t>) c</t>
  </si>
  <si>
    <t xml:space="preserve">  SELECT * FROM site_information</t>
  </si>
  <si>
    <t xml:space="preserve">  WHERE longitude &lt;&gt; -999</t>
  </si>
  <si>
    <t>) d</t>
  </si>
  <si>
    <t>ORDER BY cc_specie, latitude, longitude, cc_planting_date, subplot</t>
  </si>
  <si>
    <t>GDD</t>
  </si>
  <si>
    <t>GDD Link</t>
  </si>
  <si>
    <t>NC</t>
  </si>
  <si>
    <t>VA</t>
  </si>
  <si>
    <t>FL</t>
  </si>
  <si>
    <t>GA</t>
  </si>
  <si>
    <t>AL</t>
  </si>
  <si>
    <t>SC</t>
  </si>
  <si>
    <t>DE</t>
  </si>
  <si>
    <t>MD</t>
  </si>
  <si>
    <t>MO</t>
  </si>
  <si>
    <t>KS</t>
  </si>
  <si>
    <t>OH</t>
  </si>
  <si>
    <t>IN</t>
  </si>
  <si>
    <t>PA</t>
  </si>
  <si>
    <t>WI</t>
  </si>
  <si>
    <t>NH</t>
  </si>
  <si>
    <t>MN</t>
  </si>
  <si>
    <t>VT</t>
  </si>
  <si>
    <t>Stem Extension</t>
  </si>
  <si>
    <t>Heading and Flowering</t>
  </si>
  <si>
    <t>Ripening (grain forming from milk to kernel)</t>
  </si>
  <si>
    <t>Tillering</t>
  </si>
  <si>
    <t>Ripening</t>
  </si>
  <si>
    <t>Flowering</t>
  </si>
  <si>
    <t>growth_stage</t>
  </si>
  <si>
    <t>state</t>
  </si>
  <si>
    <t>Stem elongation</t>
  </si>
  <si>
    <t>SELECT</t>
  </si>
  <si>
    <t xml:space="preserve">  latitude,</t>
  </si>
  <si>
    <t xml:space="preserve">  longitude,</t>
  </si>
  <si>
    <t xml:space="preserve">  cc_specie as species,</t>
  </si>
  <si>
    <t xml:space="preserve">  cc_planting_date as planting_date,</t>
  </si>
  <si>
    <t xml:space="preserve">  cc_termination_date as termination_date,</t>
  </si>
  <si>
    <t xml:space="preserve">  state,</t>
  </si>
  <si>
    <t xml:space="preserve">  code,</t>
  </si>
  <si>
    <t xml:space="preserve">  subplot,</t>
  </si>
  <si>
    <t xml:space="preserve">  percent_fat as fat,</t>
  </si>
  <si>
    <t xml:space="preserve">  percent_cp as cp,</t>
  </si>
  <si>
    <t xml:space="preserve">  percent_ash as ash,</t>
  </si>
  <si>
    <t xml:space="preserve">  percent_adf as adf,</t>
  </si>
  <si>
    <t xml:space="preserve">  percent_ndf as ndf,</t>
  </si>
  <si>
    <t xml:space="preserve">  percent_nfc as nfc,</t>
  </si>
  <si>
    <t xml:space="preserve">  percent_carb_norm as carb,</t>
  </si>
  <si>
    <t xml:space="preserve">  percent_cellulose_norm as cellulose,</t>
  </si>
  <si>
    <t xml:space="preserve">  percent_lignin_norm as lignin,</t>
  </si>
  <si>
    <t xml:space="preserve">  coalesce(growth_stage_grains, growth_stage_legumes, growth_stage_brassicas) as growth_stage</t>
  </si>
  <si>
    <t xml:space="preserve">    WHERE cc_specie NOT IN ('-999', 'Other', 'Other Brassica spp')</t>
  </si>
  <si>
    <t xml:space="preserve">    GROUP BY code</t>
  </si>
  <si>
    <t xml:space="preserve">    HAVING COUNT(DISTINCT cc_specie) = 1</t>
  </si>
  <si>
    <t xml:space="preserve">    SELECT code FROM cc_mixture</t>
  </si>
  <si>
    <t>Vegetative</t>
  </si>
  <si>
    <t>Podfill / Mature</t>
  </si>
  <si>
    <t>OnFarm</t>
  </si>
  <si>
    <t>Anthesis</t>
  </si>
  <si>
    <t>Stem Elongation</t>
  </si>
  <si>
    <t>Seedling Growth</t>
  </si>
  <si>
    <t>Zadoks</t>
  </si>
  <si>
    <t>Booting / Anthesis</t>
  </si>
  <si>
    <t>Dough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</si>
</sst>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3" xfId="0" applyBorder="1"/>
    <xf numFmtId="0" fontId="0" fillId="0" borderId="2" xfId="0" applyBorder="1"/>
    <xf numFmtId="165" fontId="0" fillId="0" borderId="2" xfId="0" applyNumberFormat="1" applyBorder="1"/>
    <xf numFmtId="164" fontId="0" fillId="0" borderId="2" xfId="0" applyNumberFormat="1" applyBorder="1"/>
    <xf numFmtId="2" fontId="0" fillId="0" borderId="2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2" fontId="0" fillId="0" borderId="3" xfId="0" applyNumberFormat="1" applyBorder="1"/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0" fillId="2" borderId="5" xfId="0" applyFill="1" applyBorder="1" applyAlignment="1">
      <alignment horizontal="center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0" fillId="0" borderId="12" xfId="0" applyNumberFormat="1" applyBorder="1"/>
    <xf numFmtId="1" fontId="0" fillId="0" borderId="13" xfId="0" applyNumberFormat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2" borderId="14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8" xfId="0" applyBorder="1"/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/>
    <xf numFmtId="0" fontId="0" fillId="3" borderId="12" xfId="0" applyFill="1" applyBorder="1"/>
    <xf numFmtId="0" fontId="0" fillId="0" borderId="13" xfId="0" applyBorder="1"/>
  </cellXfs>
  <cellStyles count="2">
    <cellStyle name="Hyperlink" xfId="1" builtinId="8"/>
    <cellStyle name="Normal" xfId="0" builtinId="0"/>
  </cellStyles>
  <dxfs count="1">
    <dxf>
      <fill>
        <patternFill>
          <bgColor theme="0" tint="-4.9989318521683403E-2"/>
        </patternFill>
      </fill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24E8-651A-43E0-BD7E-37F0BE983D62}">
  <dimension ref="A1:T180"/>
  <sheetViews>
    <sheetView showGridLines="0" workbookViewId="0">
      <pane ySplit="1" topLeftCell="A2" activePane="bottomLeft" state="frozen"/>
      <selection pane="bottomLeft" activeCell="R19" sqref="R19"/>
    </sheetView>
  </sheetViews>
  <sheetFormatPr defaultRowHeight="15" x14ac:dyDescent="0.25"/>
  <cols>
    <col min="1" max="1" width="7.7109375" bestFit="1" customWidth="1"/>
    <col min="2" max="2" width="9.28515625" bestFit="1" customWidth="1"/>
    <col min="3" max="3" width="15.42578125" bestFit="1" customWidth="1"/>
    <col min="4" max="4" width="13.140625" bestFit="1" customWidth="1"/>
    <col min="5" max="5" width="16.140625" bestFit="1" customWidth="1"/>
    <col min="6" max="6" width="5.28515625" bestFit="1" customWidth="1"/>
    <col min="7" max="7" width="5.42578125" bestFit="1" customWidth="1"/>
    <col min="8" max="8" width="7.7109375" bestFit="1" customWidth="1"/>
    <col min="9" max="9" width="4.5703125" bestFit="1" customWidth="1"/>
    <col min="10" max="15" width="5.5703125" bestFit="1" customWidth="1"/>
    <col min="16" max="16" width="9" bestFit="1" customWidth="1"/>
    <col min="17" max="17" width="6" bestFit="1" customWidth="1"/>
    <col min="18" max="18" width="40.28515625" bestFit="1" customWidth="1"/>
    <col min="19" max="19" width="5" bestFit="1" customWidth="1"/>
    <col min="20" max="20" width="162" bestFit="1" customWidth="1"/>
  </cols>
  <sheetData>
    <row r="1" spans="1:20" x14ac:dyDescent="0.25">
      <c r="A1" s="11" t="s">
        <v>97</v>
      </c>
      <c r="B1" s="12" t="s">
        <v>98</v>
      </c>
      <c r="C1" s="12" t="s">
        <v>108</v>
      </c>
      <c r="D1" s="12" t="s">
        <v>109</v>
      </c>
      <c r="E1" s="12" t="s">
        <v>110</v>
      </c>
      <c r="F1" s="12" t="s">
        <v>156</v>
      </c>
      <c r="G1" s="12" t="s">
        <v>99</v>
      </c>
      <c r="H1" s="12" t="s">
        <v>100</v>
      </c>
      <c r="I1" s="11" t="s">
        <v>101</v>
      </c>
      <c r="J1" s="12" t="s">
        <v>102</v>
      </c>
      <c r="K1" s="12" t="s">
        <v>103</v>
      </c>
      <c r="L1" s="12" t="s">
        <v>104</v>
      </c>
      <c r="M1" s="12" t="s">
        <v>105</v>
      </c>
      <c r="N1" s="12" t="s">
        <v>107</v>
      </c>
      <c r="O1" s="12" t="s">
        <v>112</v>
      </c>
      <c r="P1" s="12" t="s">
        <v>111</v>
      </c>
      <c r="Q1" s="12" t="s">
        <v>106</v>
      </c>
      <c r="R1" s="13" t="s">
        <v>155</v>
      </c>
      <c r="S1" s="17" t="s">
        <v>130</v>
      </c>
      <c r="T1" s="26" t="s">
        <v>131</v>
      </c>
    </row>
    <row r="2" spans="1:20" x14ac:dyDescent="0.25">
      <c r="A2" s="6">
        <v>35.806045532226499</v>
      </c>
      <c r="B2" s="3">
        <v>-81.148345947265597</v>
      </c>
      <c r="C2" s="2" t="s">
        <v>0</v>
      </c>
      <c r="D2" s="4">
        <v>42658</v>
      </c>
      <c r="E2" s="4">
        <v>42835</v>
      </c>
      <c r="F2" s="4" t="s">
        <v>132</v>
      </c>
      <c r="G2" s="2" t="s">
        <v>3</v>
      </c>
      <c r="H2" s="2">
        <v>1</v>
      </c>
      <c r="I2" s="22">
        <v>1.98</v>
      </c>
      <c r="J2" s="5">
        <v>12.95</v>
      </c>
      <c r="K2" s="5">
        <v>10.71</v>
      </c>
      <c r="L2" s="5">
        <v>43.5</v>
      </c>
      <c r="M2" s="5">
        <v>69.58</v>
      </c>
      <c r="N2" s="5">
        <v>9.6539999999999999</v>
      </c>
      <c r="O2" s="5">
        <v>26.11</v>
      </c>
      <c r="P2" s="5">
        <v>67.81</v>
      </c>
      <c r="Q2" s="5">
        <v>6.09</v>
      </c>
      <c r="R2" s="23"/>
      <c r="S2" s="18">
        <v>1219.23014307022</v>
      </c>
      <c r="T2" s="14" t="str">
        <f>"https://weather.covercrop-data.org/daily?lat="&amp;A2&amp;"&amp;lon="&amp;B2&amp;"&amp;start="&amp;TEXT(D2, "yyyy-mm-dd") &amp; "&amp;end="&amp;TEXT(E2, "yyyy-mm-dd")&amp;"&amp;gddbase=4&amp;gddmin=0&amp;stats=sum(gdd)&amp;output=html"</f>
        <v>https://weather.covercrop-data.org/daily?lat=35.8060455322265&amp;lon=-81.1483459472656&amp;start=2016-10-15&amp;end=2017-04-10&amp;gddbase=4&amp;gddmin=0&amp;stats=sum(gdd)&amp;output=html</v>
      </c>
    </row>
    <row r="3" spans="1:20" x14ac:dyDescent="0.25">
      <c r="A3" s="6">
        <v>35.806045532226499</v>
      </c>
      <c r="B3" s="3">
        <v>-81.148345947265597</v>
      </c>
      <c r="C3" s="2" t="s">
        <v>0</v>
      </c>
      <c r="D3" s="4">
        <v>42658</v>
      </c>
      <c r="E3" s="4">
        <v>42835</v>
      </c>
      <c r="F3" s="4" t="s">
        <v>132</v>
      </c>
      <c r="G3" s="2" t="s">
        <v>3</v>
      </c>
      <c r="H3" s="2">
        <v>2</v>
      </c>
      <c r="I3" s="22">
        <v>1.96</v>
      </c>
      <c r="J3" s="5">
        <v>9.9</v>
      </c>
      <c r="K3" s="5">
        <v>9.34</v>
      </c>
      <c r="L3" s="5">
        <v>41.76</v>
      </c>
      <c r="M3" s="5">
        <v>68.27</v>
      </c>
      <c r="N3" s="5">
        <v>15.31</v>
      </c>
      <c r="O3" s="5">
        <v>28.47</v>
      </c>
      <c r="P3" s="5">
        <v>65.930000000000007</v>
      </c>
      <c r="Q3" s="5">
        <v>5.61</v>
      </c>
      <c r="R3" s="23"/>
      <c r="S3" s="19">
        <v>1219.23014307022</v>
      </c>
      <c r="T3" s="15" t="str">
        <f t="shared" ref="T3:T66" si="0">"https://weather.covercrop-data.org/daily?lat="&amp;A3&amp;"&amp;lon="&amp;B3&amp;"&amp;start="&amp;TEXT(D3, "yyyy-mm-dd") &amp; "&amp;end="&amp;TEXT(E3, "yyyy-mm-dd")&amp;"&amp;gddbase=4&amp;gddmin=0&amp;stats=sum(gdd)&amp;output=html"</f>
        <v>https://weather.covercrop-data.org/daily?lat=35.8060455322265&amp;lon=-81.1483459472656&amp;start=2016-10-15&amp;end=2017-04-10&amp;gddbase=4&amp;gddmin=0&amp;stats=sum(gdd)&amp;output=html</v>
      </c>
    </row>
    <row r="4" spans="1:20" x14ac:dyDescent="0.25">
      <c r="A4" s="6">
        <v>37.677501678466797</v>
      </c>
      <c r="B4" s="3">
        <v>-76.601997375488196</v>
      </c>
      <c r="C4" s="2" t="s">
        <v>0</v>
      </c>
      <c r="D4" s="4">
        <v>44102</v>
      </c>
      <c r="E4" s="4">
        <v>44300</v>
      </c>
      <c r="F4" s="4" t="s">
        <v>133</v>
      </c>
      <c r="G4" s="2" t="s">
        <v>2</v>
      </c>
      <c r="H4" s="2">
        <v>1</v>
      </c>
      <c r="I4" s="22">
        <v>2.577693</v>
      </c>
      <c r="J4" s="5">
        <v>9.0873740000000005</v>
      </c>
      <c r="K4" s="5">
        <v>6.2125279999999998</v>
      </c>
      <c r="L4" s="5">
        <v>28.873404000000001</v>
      </c>
      <c r="M4" s="5">
        <v>47.437153000000002</v>
      </c>
      <c r="N4" s="5">
        <v>38.005850000000002</v>
      </c>
      <c r="O4" s="5">
        <v>51.150145999999999</v>
      </c>
      <c r="P4" s="5">
        <v>46.571136000000003</v>
      </c>
      <c r="Q4" s="5">
        <v>2.2787187000000002</v>
      </c>
      <c r="R4" s="23" t="s">
        <v>157</v>
      </c>
      <c r="S4" s="19">
        <v>1174.3200678825399</v>
      </c>
      <c r="T4" s="15" t="str">
        <f t="shared" si="0"/>
        <v>https://weather.covercrop-data.org/daily?lat=37.6775016784668&amp;lon=-76.6019973754882&amp;start=2020-09-28&amp;end=2021-04-14&amp;gddbase=4&amp;gddmin=0&amp;stats=sum(gdd)&amp;output=html</v>
      </c>
    </row>
    <row r="5" spans="1:20" x14ac:dyDescent="0.25">
      <c r="A5" s="6">
        <v>37.677501678466797</v>
      </c>
      <c r="B5" s="3">
        <v>-76.601997375488196</v>
      </c>
      <c r="C5" s="2" t="s">
        <v>0</v>
      </c>
      <c r="D5" s="4">
        <v>44102</v>
      </c>
      <c r="E5" s="4">
        <v>44300</v>
      </c>
      <c r="F5" s="4" t="s">
        <v>133</v>
      </c>
      <c r="G5" s="2" t="s">
        <v>2</v>
      </c>
      <c r="H5" s="2">
        <v>2</v>
      </c>
      <c r="I5" s="22">
        <v>2.5768534999999999</v>
      </c>
      <c r="J5" s="5">
        <v>9.4695140000000002</v>
      </c>
      <c r="K5" s="5">
        <v>5.1995979999999999</v>
      </c>
      <c r="L5" s="5">
        <v>25.840864</v>
      </c>
      <c r="M5" s="5">
        <v>44.283076999999999</v>
      </c>
      <c r="N5" s="5">
        <v>41.570774</v>
      </c>
      <c r="O5" s="5">
        <v>54.767130000000002</v>
      </c>
      <c r="P5" s="5">
        <v>43.596330000000002</v>
      </c>
      <c r="Q5" s="5">
        <v>1.6365411000000001</v>
      </c>
      <c r="R5" s="23" t="s">
        <v>157</v>
      </c>
      <c r="S5" s="19">
        <v>1174.3200678825399</v>
      </c>
      <c r="T5" s="15" t="str">
        <f t="shared" si="0"/>
        <v>https://weather.covercrop-data.org/daily?lat=37.6775016784668&amp;lon=-76.6019973754882&amp;start=2020-09-28&amp;end=2021-04-14&amp;gddbase=4&amp;gddmin=0&amp;stats=sum(gdd)&amp;output=html</v>
      </c>
    </row>
    <row r="6" spans="1:20" x14ac:dyDescent="0.25">
      <c r="A6" s="6">
        <v>37.680911999999999</v>
      </c>
      <c r="B6" s="3">
        <v>-76.607016000000002</v>
      </c>
      <c r="C6" s="2" t="s">
        <v>0</v>
      </c>
      <c r="D6" s="4">
        <v>44480</v>
      </c>
      <c r="E6" s="4">
        <v>44663</v>
      </c>
      <c r="F6" s="4" t="s">
        <v>133</v>
      </c>
      <c r="G6" s="2" t="s">
        <v>4</v>
      </c>
      <c r="H6" s="2">
        <v>1</v>
      </c>
      <c r="I6" s="22">
        <v>2.0098462000000001</v>
      </c>
      <c r="J6" s="5">
        <v>9.4880019999999998</v>
      </c>
      <c r="K6" s="5">
        <v>7.1021850000000004</v>
      </c>
      <c r="L6" s="5">
        <v>28.748968000000001</v>
      </c>
      <c r="M6" s="5">
        <v>58.584876999999999</v>
      </c>
      <c r="N6" s="5">
        <v>26.916029999999999</v>
      </c>
      <c r="O6" s="5">
        <v>42.731194000000002</v>
      </c>
      <c r="P6" s="5">
        <v>55.054485</v>
      </c>
      <c r="Q6" s="5">
        <v>2.2143191999999998</v>
      </c>
      <c r="R6" s="23" t="s">
        <v>150</v>
      </c>
      <c r="S6" s="19">
        <v>997.19512319564797</v>
      </c>
      <c r="T6" s="15" t="str">
        <f t="shared" si="0"/>
        <v>https://weather.covercrop-data.org/daily?lat=37.680912&amp;lon=-76.607016&amp;start=2021-10-11&amp;end=2022-04-12&amp;gddbase=4&amp;gddmin=0&amp;stats=sum(gdd)&amp;output=html</v>
      </c>
    </row>
    <row r="7" spans="1:20" x14ac:dyDescent="0.25">
      <c r="A7" s="6">
        <v>37.680911999999999</v>
      </c>
      <c r="B7" s="3">
        <v>-76.607016000000002</v>
      </c>
      <c r="C7" s="2" t="s">
        <v>0</v>
      </c>
      <c r="D7" s="4">
        <v>44480</v>
      </c>
      <c r="E7" s="4">
        <v>44663</v>
      </c>
      <c r="F7" s="4" t="s">
        <v>133</v>
      </c>
      <c r="G7" s="2" t="s">
        <v>4</v>
      </c>
      <c r="H7" s="2">
        <v>2</v>
      </c>
      <c r="I7" s="22">
        <v>1.9183011999999999</v>
      </c>
      <c r="J7" s="5">
        <v>8.5351180000000006</v>
      </c>
      <c r="K7" s="5">
        <v>6.7104572999999998</v>
      </c>
      <c r="L7" s="5">
        <v>30.57827</v>
      </c>
      <c r="M7" s="5">
        <v>59.193466000000001</v>
      </c>
      <c r="N7" s="5">
        <v>27.786200000000001</v>
      </c>
      <c r="O7" s="5">
        <v>42.150036</v>
      </c>
      <c r="P7" s="5">
        <v>55.907012999999999</v>
      </c>
      <c r="Q7" s="5">
        <v>1.942952</v>
      </c>
      <c r="R7" s="23" t="s">
        <v>150</v>
      </c>
      <c r="S7" s="19">
        <v>997.19512319564797</v>
      </c>
      <c r="T7" s="15" t="str">
        <f t="shared" si="0"/>
        <v>https://weather.covercrop-data.org/daily?lat=37.680912&amp;lon=-76.607016&amp;start=2021-10-11&amp;end=2022-04-12&amp;gddbase=4&amp;gddmin=0&amp;stats=sum(gdd)&amp;output=html</v>
      </c>
    </row>
    <row r="8" spans="1:20" x14ac:dyDescent="0.25">
      <c r="A8" s="6">
        <v>37.695005000000002</v>
      </c>
      <c r="B8" s="3">
        <v>-76.629717999999997</v>
      </c>
      <c r="C8" s="2" t="s">
        <v>0</v>
      </c>
      <c r="D8" s="4">
        <v>44480</v>
      </c>
      <c r="E8" s="4">
        <v>44680</v>
      </c>
      <c r="F8" s="4" t="s">
        <v>133</v>
      </c>
      <c r="G8" s="2" t="s">
        <v>1</v>
      </c>
      <c r="H8" s="2">
        <v>1</v>
      </c>
      <c r="I8" s="22">
        <v>1.6231561999999999</v>
      </c>
      <c r="J8" s="5">
        <v>7.7242464999999996</v>
      </c>
      <c r="K8" s="5">
        <v>4.1737123</v>
      </c>
      <c r="L8" s="5">
        <v>27.508904999999999</v>
      </c>
      <c r="M8" s="5">
        <v>53.386623</v>
      </c>
      <c r="N8" s="5">
        <v>36.829326999999999</v>
      </c>
      <c r="O8" s="5">
        <v>48.408535000000001</v>
      </c>
      <c r="P8" s="5">
        <v>49.229785999999997</v>
      </c>
      <c r="Q8" s="5">
        <v>2.3616769999999998</v>
      </c>
      <c r="R8" s="23" t="s">
        <v>150</v>
      </c>
      <c r="S8" s="19">
        <v>1179.64506578445</v>
      </c>
      <c r="T8" s="15" t="str">
        <f t="shared" si="0"/>
        <v>https://weather.covercrop-data.org/daily?lat=37.695005&amp;lon=-76.629718&amp;start=2021-10-11&amp;end=2022-04-29&amp;gddbase=4&amp;gddmin=0&amp;stats=sum(gdd)&amp;output=html</v>
      </c>
    </row>
    <row r="9" spans="1:20" x14ac:dyDescent="0.25">
      <c r="A9" s="6">
        <v>37.695005000000002</v>
      </c>
      <c r="B9" s="3">
        <v>-76.629717999999997</v>
      </c>
      <c r="C9" s="2" t="s">
        <v>0</v>
      </c>
      <c r="D9" s="4">
        <v>44480</v>
      </c>
      <c r="E9" s="4">
        <v>44680</v>
      </c>
      <c r="F9" s="4" t="s">
        <v>133</v>
      </c>
      <c r="G9" s="2" t="s">
        <v>1</v>
      </c>
      <c r="H9" s="2">
        <v>2</v>
      </c>
      <c r="I9" s="22">
        <v>1.9079477</v>
      </c>
      <c r="J9" s="5">
        <v>8.6961650000000006</v>
      </c>
      <c r="K9" s="5">
        <v>3.3621416000000002</v>
      </c>
      <c r="L9" s="5">
        <v>28.040163</v>
      </c>
      <c r="M9" s="5">
        <v>57.586975000000002</v>
      </c>
      <c r="N9" s="5">
        <v>32.47786</v>
      </c>
      <c r="O9" s="5">
        <v>44.274369999999998</v>
      </c>
      <c r="P9" s="5">
        <v>53.041719999999998</v>
      </c>
      <c r="Q9" s="5">
        <v>2.6839135000000001</v>
      </c>
      <c r="R9" s="23" t="s">
        <v>150</v>
      </c>
      <c r="S9" s="19">
        <v>1179.64506578445</v>
      </c>
      <c r="T9" s="15" t="str">
        <f t="shared" si="0"/>
        <v>https://weather.covercrop-data.org/daily?lat=37.695005&amp;lon=-76.629718&amp;start=2021-10-11&amp;end=2022-04-29&amp;gddbase=4&amp;gddmin=0&amp;stats=sum(gdd)&amp;output=html</v>
      </c>
    </row>
    <row r="10" spans="1:20" x14ac:dyDescent="0.25">
      <c r="A10" s="6">
        <v>30.586572921727001</v>
      </c>
      <c r="B10" s="3">
        <v>-83.807993119426996</v>
      </c>
      <c r="C10" s="2" t="s">
        <v>5</v>
      </c>
      <c r="D10" s="4">
        <v>44576</v>
      </c>
      <c r="E10" s="4">
        <v>44707</v>
      </c>
      <c r="F10" s="4" t="s">
        <v>134</v>
      </c>
      <c r="G10" s="2" t="s">
        <v>27</v>
      </c>
      <c r="H10" s="2">
        <v>1</v>
      </c>
      <c r="I10" s="22">
        <v>1.0109524000000001</v>
      </c>
      <c r="J10" s="5">
        <v>5.3431069999999998</v>
      </c>
      <c r="K10" s="5">
        <v>5.1611557000000001</v>
      </c>
      <c r="L10" s="5">
        <v>47.313564</v>
      </c>
      <c r="M10" s="5">
        <v>76.483090000000004</v>
      </c>
      <c r="N10" s="5">
        <v>17.355509000000001</v>
      </c>
      <c r="O10" s="5">
        <v>24.949165000000001</v>
      </c>
      <c r="P10" s="5">
        <v>66.794290000000004</v>
      </c>
      <c r="Q10" s="5">
        <v>8.2565449999999991</v>
      </c>
      <c r="R10" s="23" t="s">
        <v>151</v>
      </c>
      <c r="S10" s="19">
        <v>1773.28508520126</v>
      </c>
      <c r="T10" s="15" t="str">
        <f t="shared" si="0"/>
        <v>https://weather.covercrop-data.org/daily?lat=30.586572921727&amp;lon=-83.807993119427&amp;start=2022-01-15&amp;end=2022-05-26&amp;gddbase=4&amp;gddmin=0&amp;stats=sum(gdd)&amp;output=html</v>
      </c>
    </row>
    <row r="11" spans="1:20" x14ac:dyDescent="0.25">
      <c r="A11" s="6">
        <v>30.586572921727001</v>
      </c>
      <c r="B11" s="3">
        <v>-83.807993119426996</v>
      </c>
      <c r="C11" s="2" t="s">
        <v>5</v>
      </c>
      <c r="D11" s="4">
        <v>44576</v>
      </c>
      <c r="E11" s="4">
        <v>44707</v>
      </c>
      <c r="F11" s="4" t="s">
        <v>134</v>
      </c>
      <c r="G11" s="2" t="s">
        <v>27</v>
      </c>
      <c r="H11" s="2">
        <v>2</v>
      </c>
      <c r="I11" s="22">
        <v>1.0159910999999999</v>
      </c>
      <c r="J11" s="5">
        <v>5.8456397000000004</v>
      </c>
      <c r="K11" s="5">
        <v>5.875934</v>
      </c>
      <c r="L11" s="5">
        <v>47.965763000000003</v>
      </c>
      <c r="M11" s="5">
        <v>76.004554999999996</v>
      </c>
      <c r="N11" s="5">
        <v>16.578199999999999</v>
      </c>
      <c r="O11" s="5">
        <v>25.050996999999999</v>
      </c>
      <c r="P11" s="5">
        <v>66.446309999999997</v>
      </c>
      <c r="Q11" s="5">
        <v>8.5026910000000004</v>
      </c>
      <c r="R11" s="23" t="s">
        <v>151</v>
      </c>
      <c r="S11" s="19">
        <v>1773.28508520126</v>
      </c>
      <c r="T11" s="15" t="str">
        <f t="shared" si="0"/>
        <v>https://weather.covercrop-data.org/daily?lat=30.586572921727&amp;lon=-83.807993119427&amp;start=2022-01-15&amp;end=2022-05-26&amp;gddbase=4&amp;gddmin=0&amp;stats=sum(gdd)&amp;output=html</v>
      </c>
    </row>
    <row r="12" spans="1:20" x14ac:dyDescent="0.25">
      <c r="A12" s="6">
        <v>30.606775858350002</v>
      </c>
      <c r="B12" s="3">
        <v>-83.784130229004006</v>
      </c>
      <c r="C12" s="2" t="s">
        <v>5</v>
      </c>
      <c r="D12" s="4">
        <v>44576</v>
      </c>
      <c r="E12" s="4">
        <v>44707</v>
      </c>
      <c r="F12" s="4" t="s">
        <v>134</v>
      </c>
      <c r="G12" s="2" t="s">
        <v>11</v>
      </c>
      <c r="H12" s="2">
        <v>1</v>
      </c>
      <c r="I12" s="22">
        <v>1.1869232999999999</v>
      </c>
      <c r="J12" s="5">
        <v>3.7023478000000001</v>
      </c>
      <c r="K12" s="5">
        <v>4.8110619999999997</v>
      </c>
      <c r="L12" s="5">
        <v>50.148045000000003</v>
      </c>
      <c r="M12" s="5">
        <v>78.518294999999995</v>
      </c>
      <c r="N12" s="5">
        <v>17.277653000000001</v>
      </c>
      <c r="O12" s="5">
        <v>23.120853</v>
      </c>
      <c r="P12" s="5">
        <v>68.824295000000006</v>
      </c>
      <c r="Q12" s="5">
        <v>8.0548500000000001</v>
      </c>
      <c r="R12" s="23" t="s">
        <v>151</v>
      </c>
      <c r="S12" s="19">
        <v>1773.28508520126</v>
      </c>
      <c r="T12" s="15" t="str">
        <f t="shared" si="0"/>
        <v>https://weather.covercrop-data.org/daily?lat=30.60677585835&amp;lon=-83.784130229004&amp;start=2022-01-15&amp;end=2022-05-26&amp;gddbase=4&amp;gddmin=0&amp;stats=sum(gdd)&amp;output=html</v>
      </c>
    </row>
    <row r="13" spans="1:20" x14ac:dyDescent="0.25">
      <c r="A13" s="6">
        <v>30.606775858350002</v>
      </c>
      <c r="B13" s="3">
        <v>-83.784130229004006</v>
      </c>
      <c r="C13" s="2" t="s">
        <v>5</v>
      </c>
      <c r="D13" s="4">
        <v>44576</v>
      </c>
      <c r="E13" s="4">
        <v>44707</v>
      </c>
      <c r="F13" s="4" t="s">
        <v>134</v>
      </c>
      <c r="G13" s="2" t="s">
        <v>11</v>
      </c>
      <c r="H13" s="2">
        <v>2</v>
      </c>
      <c r="I13" s="22">
        <v>1.2745158999999999</v>
      </c>
      <c r="J13" s="5">
        <v>4.4617104999999997</v>
      </c>
      <c r="K13" s="5">
        <v>4.2859290000000003</v>
      </c>
      <c r="L13" s="5">
        <v>50.669902999999998</v>
      </c>
      <c r="M13" s="5">
        <v>77.687743999999995</v>
      </c>
      <c r="N13" s="5">
        <v>17.728242999999999</v>
      </c>
      <c r="O13" s="5">
        <v>24.223566000000002</v>
      </c>
      <c r="P13" s="5">
        <v>67.431070000000005</v>
      </c>
      <c r="Q13" s="5">
        <v>8.3453660000000003</v>
      </c>
      <c r="R13" s="23" t="s">
        <v>151</v>
      </c>
      <c r="S13" s="19">
        <v>1773.28508520126</v>
      </c>
      <c r="T13" s="15" t="str">
        <f t="shared" si="0"/>
        <v>https://weather.covercrop-data.org/daily?lat=30.60677585835&amp;lon=-83.784130229004&amp;start=2022-01-15&amp;end=2022-05-26&amp;gddbase=4&amp;gddmin=0&amp;stats=sum(gdd)&amp;output=html</v>
      </c>
    </row>
    <row r="14" spans="1:20" x14ac:dyDescent="0.25">
      <c r="A14" s="6">
        <v>30.620700836181602</v>
      </c>
      <c r="B14" s="3">
        <v>-83.786399841308594</v>
      </c>
      <c r="C14" s="2" t="s">
        <v>5</v>
      </c>
      <c r="D14" s="4">
        <v>44204</v>
      </c>
      <c r="E14" s="4">
        <v>44348</v>
      </c>
      <c r="F14" s="4" t="s">
        <v>134</v>
      </c>
      <c r="G14" s="2" t="s">
        <v>9</v>
      </c>
      <c r="H14" s="2">
        <v>1</v>
      </c>
      <c r="I14" s="22">
        <v>1.1169243</v>
      </c>
      <c r="J14" s="5">
        <v>6.4007680000000002</v>
      </c>
      <c r="K14" s="5">
        <v>5.4631176000000004</v>
      </c>
      <c r="L14" s="5">
        <v>49.445430000000002</v>
      </c>
      <c r="M14" s="5">
        <v>76.091549999999998</v>
      </c>
      <c r="N14" s="5">
        <v>16.254045000000001</v>
      </c>
      <c r="O14" s="5">
        <v>23.804281</v>
      </c>
      <c r="P14" s="5">
        <v>68.089650000000006</v>
      </c>
      <c r="Q14" s="5">
        <v>8.1060660000000002</v>
      </c>
      <c r="R14" s="23" t="s">
        <v>151</v>
      </c>
      <c r="S14" s="19">
        <v>1873.64502906799</v>
      </c>
      <c r="T14" s="15" t="str">
        <f t="shared" si="0"/>
        <v>https://weather.covercrop-data.org/daily?lat=30.6207008361816&amp;lon=-83.7863998413086&amp;start=2021-01-08&amp;end=2021-06-01&amp;gddbase=4&amp;gddmin=0&amp;stats=sum(gdd)&amp;output=html</v>
      </c>
    </row>
    <row r="15" spans="1:20" x14ac:dyDescent="0.25">
      <c r="A15" s="6">
        <v>30.620700836181602</v>
      </c>
      <c r="B15" s="3">
        <v>-83.786399841308594</v>
      </c>
      <c r="C15" s="2" t="s">
        <v>5</v>
      </c>
      <c r="D15" s="4">
        <v>44204</v>
      </c>
      <c r="E15" s="4">
        <v>44348</v>
      </c>
      <c r="F15" s="4" t="s">
        <v>134</v>
      </c>
      <c r="G15" s="2" t="s">
        <v>9</v>
      </c>
      <c r="H15" s="2">
        <v>2</v>
      </c>
      <c r="I15" s="22">
        <v>1.165977</v>
      </c>
      <c r="J15" s="5">
        <v>5.2842693000000001</v>
      </c>
      <c r="K15" s="5">
        <v>3.563504</v>
      </c>
      <c r="L15" s="5">
        <v>49.283154000000003</v>
      </c>
      <c r="M15" s="5">
        <v>77.175070000000005</v>
      </c>
      <c r="N15" s="5">
        <v>18.213432000000001</v>
      </c>
      <c r="O15" s="5">
        <v>24.218364999999999</v>
      </c>
      <c r="P15" s="5">
        <v>68.092939999999999</v>
      </c>
      <c r="Q15" s="5">
        <v>7.6886929999999998</v>
      </c>
      <c r="R15" s="23" t="s">
        <v>151</v>
      </c>
      <c r="S15" s="19">
        <v>1873.64502906799</v>
      </c>
      <c r="T15" s="15" t="str">
        <f t="shared" si="0"/>
        <v>https://weather.covercrop-data.org/daily?lat=30.6207008361816&amp;lon=-83.7863998413086&amp;start=2021-01-08&amp;end=2021-06-01&amp;gddbase=4&amp;gddmin=0&amp;stats=sum(gdd)&amp;output=html</v>
      </c>
    </row>
    <row r="16" spans="1:20" x14ac:dyDescent="0.25">
      <c r="A16" s="6">
        <v>32.993839263916001</v>
      </c>
      <c r="B16" s="3">
        <v>-81.808433532714801</v>
      </c>
      <c r="C16" s="2" t="s">
        <v>5</v>
      </c>
      <c r="D16" s="4">
        <v>43808</v>
      </c>
      <c r="E16" s="4">
        <v>43917</v>
      </c>
      <c r="F16" s="4" t="s">
        <v>135</v>
      </c>
      <c r="G16" s="2" t="s">
        <v>48</v>
      </c>
      <c r="H16" s="2">
        <v>1</v>
      </c>
      <c r="I16" s="22">
        <v>2.6</v>
      </c>
      <c r="J16" s="5">
        <v>12.15</v>
      </c>
      <c r="K16" s="5">
        <v>5.77</v>
      </c>
      <c r="L16" s="5">
        <v>30.99</v>
      </c>
      <c r="M16" s="5">
        <v>60.08</v>
      </c>
      <c r="N16" s="5">
        <v>23.6</v>
      </c>
      <c r="O16" s="5">
        <v>38.96</v>
      </c>
      <c r="P16" s="5">
        <v>56.16</v>
      </c>
      <c r="Q16" s="5">
        <v>4.88</v>
      </c>
      <c r="R16" s="23"/>
      <c r="S16" s="19">
        <v>1028.19500112534</v>
      </c>
      <c r="T16" s="15" t="str">
        <f t="shared" si="0"/>
        <v>https://weather.covercrop-data.org/daily?lat=32.993839263916&amp;lon=-81.8084335327148&amp;start=2019-12-09&amp;end=2020-03-27&amp;gddbase=4&amp;gddmin=0&amp;stats=sum(gdd)&amp;output=html</v>
      </c>
    </row>
    <row r="17" spans="1:20" x14ac:dyDescent="0.25">
      <c r="A17" s="6">
        <v>32.993839263916001</v>
      </c>
      <c r="B17" s="3">
        <v>-81.808433532714801</v>
      </c>
      <c r="C17" s="2" t="s">
        <v>5</v>
      </c>
      <c r="D17" s="4">
        <v>43808</v>
      </c>
      <c r="E17" s="4">
        <v>43917</v>
      </c>
      <c r="F17" s="4" t="s">
        <v>135</v>
      </c>
      <c r="G17" s="2" t="s">
        <v>48</v>
      </c>
      <c r="H17" s="2">
        <v>2</v>
      </c>
      <c r="I17" s="22">
        <v>2.61</v>
      </c>
      <c r="J17" s="5">
        <v>11.84</v>
      </c>
      <c r="K17" s="5">
        <v>5.0599999999999996</v>
      </c>
      <c r="L17" s="5">
        <v>31.55</v>
      </c>
      <c r="M17" s="5">
        <v>61.51</v>
      </c>
      <c r="N17" s="5">
        <v>23.29</v>
      </c>
      <c r="O17" s="5">
        <v>38.020000000000003</v>
      </c>
      <c r="P17" s="5">
        <v>56.97</v>
      </c>
      <c r="Q17" s="5">
        <v>5</v>
      </c>
      <c r="R17" s="23"/>
      <c r="S17" s="19">
        <v>1028.19500112534</v>
      </c>
      <c r="T17" s="15" t="str">
        <f t="shared" si="0"/>
        <v>https://weather.covercrop-data.org/daily?lat=32.993839263916&amp;lon=-81.8084335327148&amp;start=2019-12-09&amp;end=2020-03-27&amp;gddbase=4&amp;gddmin=0&amp;stats=sum(gdd)&amp;output=html</v>
      </c>
    </row>
    <row r="18" spans="1:20" x14ac:dyDescent="0.25">
      <c r="A18" s="6">
        <v>34.101001739501903</v>
      </c>
      <c r="B18" s="3">
        <v>-85.376998901367102</v>
      </c>
      <c r="C18" s="2" t="s">
        <v>5</v>
      </c>
      <c r="D18" s="4">
        <v>44150</v>
      </c>
      <c r="E18" s="4">
        <v>44293</v>
      </c>
      <c r="F18" s="4" t="s">
        <v>136</v>
      </c>
      <c r="G18" s="2" t="s">
        <v>37</v>
      </c>
      <c r="H18" s="2">
        <v>1</v>
      </c>
      <c r="I18" s="22">
        <v>2.4945433000000001</v>
      </c>
      <c r="J18" s="5">
        <v>8.9071440000000006</v>
      </c>
      <c r="K18" s="5">
        <v>7.1856784999999999</v>
      </c>
      <c r="L18" s="5">
        <v>29.283322999999999</v>
      </c>
      <c r="M18" s="5">
        <v>45.802259999999997</v>
      </c>
      <c r="N18" s="5">
        <v>38.816532000000002</v>
      </c>
      <c r="O18" s="5">
        <v>52.299487999999997</v>
      </c>
      <c r="P18" s="5">
        <v>45.41339</v>
      </c>
      <c r="Q18" s="5">
        <v>2.2871212999999999</v>
      </c>
      <c r="R18" s="23" t="s">
        <v>157</v>
      </c>
      <c r="S18" s="19">
        <v>775.52505493164097</v>
      </c>
      <c r="T18" s="15" t="str">
        <f t="shared" si="0"/>
        <v>https://weather.covercrop-data.org/daily?lat=34.1010017395019&amp;lon=-85.3769989013671&amp;start=2020-11-15&amp;end=2021-04-07&amp;gddbase=4&amp;gddmin=0&amp;stats=sum(gdd)&amp;output=html</v>
      </c>
    </row>
    <row r="19" spans="1:20" x14ac:dyDescent="0.25">
      <c r="A19" s="6">
        <v>34.101001739501903</v>
      </c>
      <c r="B19" s="3">
        <v>-85.376998901367102</v>
      </c>
      <c r="C19" s="2" t="s">
        <v>5</v>
      </c>
      <c r="D19" s="4">
        <v>44150</v>
      </c>
      <c r="E19" s="4">
        <v>44293</v>
      </c>
      <c r="F19" s="4" t="s">
        <v>136</v>
      </c>
      <c r="G19" s="2" t="s">
        <v>37</v>
      </c>
      <c r="H19" s="2">
        <v>2</v>
      </c>
      <c r="I19" s="22">
        <v>2.4718032000000001</v>
      </c>
      <c r="J19" s="5">
        <v>8.8822320000000001</v>
      </c>
      <c r="K19" s="5">
        <v>6.9116716</v>
      </c>
      <c r="L19" s="5">
        <v>27.154219000000001</v>
      </c>
      <c r="M19" s="5">
        <v>45.234580000000001</v>
      </c>
      <c r="N19" s="5">
        <v>39.666134</v>
      </c>
      <c r="O19" s="5">
        <v>53.005352000000002</v>
      </c>
      <c r="P19" s="5">
        <v>44.758842000000001</v>
      </c>
      <c r="Q19" s="5">
        <v>2.235808</v>
      </c>
      <c r="R19" s="23" t="s">
        <v>157</v>
      </c>
      <c r="S19" s="19">
        <v>775.52505493164097</v>
      </c>
      <c r="T19" s="15" t="str">
        <f t="shared" si="0"/>
        <v>https://weather.covercrop-data.org/daily?lat=34.1010017395019&amp;lon=-85.3769989013671&amp;start=2020-11-15&amp;end=2021-04-07&amp;gddbase=4&amp;gddmin=0&amp;stats=sum(gdd)&amp;output=html</v>
      </c>
    </row>
    <row r="20" spans="1:20" x14ac:dyDescent="0.25">
      <c r="A20" s="6">
        <v>34.118812561035099</v>
      </c>
      <c r="B20" s="3">
        <v>-85.623527526855398</v>
      </c>
      <c r="C20" s="2" t="s">
        <v>5</v>
      </c>
      <c r="D20" s="4">
        <v>44136</v>
      </c>
      <c r="E20" s="4">
        <v>44302</v>
      </c>
      <c r="F20" s="4" t="s">
        <v>136</v>
      </c>
      <c r="G20" s="2" t="s">
        <v>19</v>
      </c>
      <c r="H20" s="2">
        <v>1</v>
      </c>
      <c r="I20" s="22">
        <v>1.7142172</v>
      </c>
      <c r="J20" s="5">
        <v>9.3922469999999993</v>
      </c>
      <c r="K20" s="5">
        <v>8.1805319999999995</v>
      </c>
      <c r="L20" s="5">
        <v>43.869900000000001</v>
      </c>
      <c r="M20" s="5">
        <v>64.492583999999994</v>
      </c>
      <c r="N20" s="5">
        <v>20.7349</v>
      </c>
      <c r="O20" s="5">
        <v>33.053109999999997</v>
      </c>
      <c r="P20" s="5">
        <v>60.09928</v>
      </c>
      <c r="Q20" s="5">
        <v>6.8476113999999999</v>
      </c>
      <c r="R20" s="23" t="s">
        <v>150</v>
      </c>
      <c r="S20" s="19">
        <v>1105.19005203247</v>
      </c>
      <c r="T20" s="15" t="str">
        <f t="shared" si="0"/>
        <v>https://weather.covercrop-data.org/daily?lat=34.1188125610351&amp;lon=-85.6235275268554&amp;start=2020-11-01&amp;end=2021-04-16&amp;gddbase=4&amp;gddmin=0&amp;stats=sum(gdd)&amp;output=html</v>
      </c>
    </row>
    <row r="21" spans="1:20" x14ac:dyDescent="0.25">
      <c r="A21" s="6">
        <v>34.118812561035099</v>
      </c>
      <c r="B21" s="3">
        <v>-85.623527526855398</v>
      </c>
      <c r="C21" s="2" t="s">
        <v>5</v>
      </c>
      <c r="D21" s="4">
        <v>44136</v>
      </c>
      <c r="E21" s="4">
        <v>44302</v>
      </c>
      <c r="F21" s="4" t="s">
        <v>136</v>
      </c>
      <c r="G21" s="2" t="s">
        <v>19</v>
      </c>
      <c r="H21" s="2">
        <v>2</v>
      </c>
      <c r="I21" s="22">
        <v>1.8631443999999999</v>
      </c>
      <c r="J21" s="5">
        <v>10.511222999999999</v>
      </c>
      <c r="K21" s="5">
        <v>7.1829280000000004</v>
      </c>
      <c r="L21" s="5">
        <v>43.153796999999997</v>
      </c>
      <c r="M21" s="5">
        <v>65.321259999999995</v>
      </c>
      <c r="N21" s="5">
        <v>19.693933000000001</v>
      </c>
      <c r="O21" s="5">
        <v>32.927864</v>
      </c>
      <c r="P21" s="5">
        <v>60.798259999999999</v>
      </c>
      <c r="Q21" s="5">
        <v>6.2738756999999996</v>
      </c>
      <c r="R21" s="23" t="s">
        <v>150</v>
      </c>
      <c r="S21" s="19">
        <v>1105.19005203247</v>
      </c>
      <c r="T21" s="15" t="str">
        <f t="shared" si="0"/>
        <v>https://weather.covercrop-data.org/daily?lat=34.1188125610351&amp;lon=-85.6235275268554&amp;start=2020-11-01&amp;end=2021-04-16&amp;gddbase=4&amp;gddmin=0&amp;stats=sum(gdd)&amp;output=html</v>
      </c>
    </row>
    <row r="22" spans="1:20" x14ac:dyDescent="0.25">
      <c r="A22" s="6">
        <v>34.7496337890625</v>
      </c>
      <c r="B22" s="3">
        <v>-78.152183532714801</v>
      </c>
      <c r="C22" s="2" t="s">
        <v>5</v>
      </c>
      <c r="D22" s="4">
        <v>43084</v>
      </c>
      <c r="E22" s="4">
        <v>43188</v>
      </c>
      <c r="F22" s="4" t="s">
        <v>132</v>
      </c>
      <c r="G22" s="2" t="s">
        <v>26</v>
      </c>
      <c r="H22" s="2">
        <v>1</v>
      </c>
      <c r="I22" s="22">
        <v>3.27</v>
      </c>
      <c r="J22" s="5">
        <v>15.63</v>
      </c>
      <c r="K22" s="5">
        <v>6.1</v>
      </c>
      <c r="L22" s="5">
        <v>22.34</v>
      </c>
      <c r="M22" s="5">
        <v>45.46</v>
      </c>
      <c r="N22" s="5">
        <v>29.54</v>
      </c>
      <c r="O22" s="5">
        <v>51.59</v>
      </c>
      <c r="P22" s="5">
        <v>44.96</v>
      </c>
      <c r="Q22" s="5">
        <v>3.45</v>
      </c>
      <c r="R22" s="23"/>
      <c r="S22" s="19">
        <v>596.860019683838</v>
      </c>
      <c r="T22" s="15" t="str">
        <f t="shared" si="0"/>
        <v>https://weather.covercrop-data.org/daily?lat=34.7496337890625&amp;lon=-78.1521835327148&amp;start=2017-12-15&amp;end=2018-03-29&amp;gddbase=4&amp;gddmin=0&amp;stats=sum(gdd)&amp;output=html</v>
      </c>
    </row>
    <row r="23" spans="1:20" x14ac:dyDescent="0.25">
      <c r="A23" s="6">
        <v>34.7496337890625</v>
      </c>
      <c r="B23" s="3">
        <v>-78.152183532714801</v>
      </c>
      <c r="C23" s="2" t="s">
        <v>5</v>
      </c>
      <c r="D23" s="4">
        <v>43084</v>
      </c>
      <c r="E23" s="4">
        <v>43188</v>
      </c>
      <c r="F23" s="4" t="s">
        <v>132</v>
      </c>
      <c r="G23" s="2" t="s">
        <v>26</v>
      </c>
      <c r="H23" s="2">
        <v>2</v>
      </c>
      <c r="I23" s="22">
        <v>3.2</v>
      </c>
      <c r="J23" s="5">
        <v>13.73</v>
      </c>
      <c r="K23" s="5">
        <v>5.4</v>
      </c>
      <c r="L23" s="5">
        <v>22.82</v>
      </c>
      <c r="M23" s="5">
        <v>45.23</v>
      </c>
      <c r="N23" s="5">
        <v>32.44</v>
      </c>
      <c r="O23" s="5">
        <v>52.19</v>
      </c>
      <c r="P23" s="5">
        <v>44.45</v>
      </c>
      <c r="Q23" s="5">
        <v>3.36</v>
      </c>
      <c r="R23" s="23"/>
      <c r="S23" s="19">
        <v>596.860019683838</v>
      </c>
      <c r="T23" s="15" t="str">
        <f t="shared" si="0"/>
        <v>https://weather.covercrop-data.org/daily?lat=34.7496337890625&amp;lon=-78.1521835327148&amp;start=2017-12-15&amp;end=2018-03-29&amp;gddbase=4&amp;gddmin=0&amp;stats=sum(gdd)&amp;output=html</v>
      </c>
    </row>
    <row r="24" spans="1:20" x14ac:dyDescent="0.25">
      <c r="A24" s="6">
        <v>34.775437796650998</v>
      </c>
      <c r="B24" s="3">
        <v>-79.233182960203806</v>
      </c>
      <c r="C24" s="2" t="s">
        <v>5</v>
      </c>
      <c r="D24" s="4">
        <v>44470</v>
      </c>
      <c r="E24" s="4">
        <v>44657</v>
      </c>
      <c r="F24" s="4" t="s">
        <v>132</v>
      </c>
      <c r="G24" s="2" t="s">
        <v>42</v>
      </c>
      <c r="H24" s="2">
        <v>1</v>
      </c>
      <c r="I24" s="22">
        <v>2.0843408000000001</v>
      </c>
      <c r="J24" s="5">
        <v>7.8279949999999996</v>
      </c>
      <c r="K24" s="5">
        <v>6.0423955999999999</v>
      </c>
      <c r="L24" s="5">
        <v>37.403767000000002</v>
      </c>
      <c r="M24" s="5">
        <v>65.699089999999998</v>
      </c>
      <c r="N24" s="5">
        <v>22.945115999999999</v>
      </c>
      <c r="O24" s="5">
        <v>35.51614</v>
      </c>
      <c r="P24" s="5">
        <v>59.356459999999998</v>
      </c>
      <c r="Q24" s="5">
        <v>5.1274033000000001</v>
      </c>
      <c r="R24" s="23" t="s">
        <v>150</v>
      </c>
      <c r="S24" s="19">
        <v>1601.4250636100801</v>
      </c>
      <c r="T24" s="15" t="str">
        <f t="shared" si="0"/>
        <v>https://weather.covercrop-data.org/daily?lat=34.775437796651&amp;lon=-79.2331829602038&amp;start=2021-10-01&amp;end=2022-04-06&amp;gddbase=4&amp;gddmin=0&amp;stats=sum(gdd)&amp;output=html</v>
      </c>
    </row>
    <row r="25" spans="1:20" x14ac:dyDescent="0.25">
      <c r="A25" s="6">
        <v>34.775437796650998</v>
      </c>
      <c r="B25" s="3">
        <v>-79.233182960203806</v>
      </c>
      <c r="C25" s="2" t="s">
        <v>5</v>
      </c>
      <c r="D25" s="4">
        <v>44470</v>
      </c>
      <c r="E25" s="4">
        <v>44657</v>
      </c>
      <c r="F25" s="4" t="s">
        <v>132</v>
      </c>
      <c r="G25" s="2" t="s">
        <v>42</v>
      </c>
      <c r="H25" s="2">
        <v>2</v>
      </c>
      <c r="I25" s="22">
        <v>1.8875428000000001</v>
      </c>
      <c r="J25" s="5">
        <v>6.4177270000000002</v>
      </c>
      <c r="K25" s="5">
        <v>6.2187605000000001</v>
      </c>
      <c r="L25" s="5">
        <v>36.112717000000004</v>
      </c>
      <c r="M25" s="5">
        <v>65.012439999999998</v>
      </c>
      <c r="N25" s="5">
        <v>25.014396999999999</v>
      </c>
      <c r="O25" s="5">
        <v>36.172462000000003</v>
      </c>
      <c r="P25" s="5">
        <v>59.099373</v>
      </c>
      <c r="Q25" s="5">
        <v>4.7281636999999996</v>
      </c>
      <c r="R25" s="23" t="s">
        <v>150</v>
      </c>
      <c r="S25" s="19">
        <v>1601.4250636100801</v>
      </c>
      <c r="T25" s="15" t="str">
        <f t="shared" si="0"/>
        <v>https://weather.covercrop-data.org/daily?lat=34.775437796651&amp;lon=-79.2331829602038&amp;start=2021-10-01&amp;end=2022-04-06&amp;gddbase=4&amp;gddmin=0&amp;stats=sum(gdd)&amp;output=html</v>
      </c>
    </row>
    <row r="26" spans="1:20" x14ac:dyDescent="0.25">
      <c r="A26" s="6">
        <v>35.106013135828</v>
      </c>
      <c r="B26" s="3">
        <v>-82.185010361962</v>
      </c>
      <c r="C26" s="2" t="s">
        <v>5</v>
      </c>
      <c r="D26" s="4">
        <v>44151</v>
      </c>
      <c r="E26" s="4">
        <v>44330</v>
      </c>
      <c r="F26" s="4" t="s">
        <v>137</v>
      </c>
      <c r="G26" s="2" t="s">
        <v>43</v>
      </c>
      <c r="H26" s="2">
        <v>1</v>
      </c>
      <c r="I26" s="22">
        <v>1.9956543</v>
      </c>
      <c r="J26" s="5">
        <v>4.0413103000000001</v>
      </c>
      <c r="K26" s="5">
        <v>2.9719627000000002</v>
      </c>
      <c r="L26" s="5">
        <v>41.735570000000003</v>
      </c>
      <c r="M26" s="5">
        <v>72.062830000000005</v>
      </c>
      <c r="N26" s="5">
        <v>23.972643000000001</v>
      </c>
      <c r="O26" s="5">
        <v>29.400207999999999</v>
      </c>
      <c r="P26" s="5">
        <v>64.991529999999997</v>
      </c>
      <c r="Q26" s="5">
        <v>5.6082625000000004</v>
      </c>
      <c r="R26" s="23" t="s">
        <v>150</v>
      </c>
      <c r="S26" s="19">
        <v>1153.4250817298901</v>
      </c>
      <c r="T26" s="15" t="str">
        <f t="shared" si="0"/>
        <v>https://weather.covercrop-data.org/daily?lat=35.106013135828&amp;lon=-82.185010361962&amp;start=2020-11-16&amp;end=2021-05-14&amp;gddbase=4&amp;gddmin=0&amp;stats=sum(gdd)&amp;output=html</v>
      </c>
    </row>
    <row r="27" spans="1:20" x14ac:dyDescent="0.25">
      <c r="A27" s="6">
        <v>35.106013135828</v>
      </c>
      <c r="B27" s="3">
        <v>-82.185010361962</v>
      </c>
      <c r="C27" s="2" t="s">
        <v>5</v>
      </c>
      <c r="D27" s="4">
        <v>44151</v>
      </c>
      <c r="E27" s="4">
        <v>44330</v>
      </c>
      <c r="F27" s="4" t="s">
        <v>137</v>
      </c>
      <c r="G27" s="2" t="s">
        <v>43</v>
      </c>
      <c r="H27" s="2">
        <v>2</v>
      </c>
      <c r="I27" s="22">
        <v>1.9389396000000001</v>
      </c>
      <c r="J27" s="5">
        <v>3.324376</v>
      </c>
      <c r="K27" s="5">
        <v>2.4220250000000001</v>
      </c>
      <c r="L27" s="5">
        <v>42.768535999999997</v>
      </c>
      <c r="M27" s="5">
        <v>73.05986</v>
      </c>
      <c r="N27" s="5">
        <v>24.368994000000001</v>
      </c>
      <c r="O27" s="5">
        <v>28.856012</v>
      </c>
      <c r="P27" s="5">
        <v>66.052949999999996</v>
      </c>
      <c r="Q27" s="5">
        <v>5.0910419999999998</v>
      </c>
      <c r="R27" s="23" t="s">
        <v>150</v>
      </c>
      <c r="S27" s="19">
        <v>1153.4250817298901</v>
      </c>
      <c r="T27" s="15" t="str">
        <f t="shared" si="0"/>
        <v>https://weather.covercrop-data.org/daily?lat=35.106013135828&amp;lon=-82.185010361962&amp;start=2020-11-16&amp;end=2021-05-14&amp;gddbase=4&amp;gddmin=0&amp;stats=sum(gdd)&amp;output=html</v>
      </c>
    </row>
    <row r="28" spans="1:20" x14ac:dyDescent="0.25">
      <c r="A28" s="6">
        <v>35.109712999999999</v>
      </c>
      <c r="B28" s="3">
        <v>-82.155682600000006</v>
      </c>
      <c r="C28" s="2" t="s">
        <v>5</v>
      </c>
      <c r="D28" s="4">
        <v>44151</v>
      </c>
      <c r="E28" s="4">
        <v>44330</v>
      </c>
      <c r="F28" s="4" t="s">
        <v>137</v>
      </c>
      <c r="G28" s="2" t="s">
        <v>33</v>
      </c>
      <c r="H28" s="2">
        <v>1</v>
      </c>
      <c r="I28" s="22">
        <v>1.879062</v>
      </c>
      <c r="J28" s="5">
        <v>3.3088554999999999</v>
      </c>
      <c r="K28" s="5">
        <v>4.5258903999999998</v>
      </c>
      <c r="L28" s="5">
        <v>42.632553000000001</v>
      </c>
      <c r="M28" s="5">
        <v>71.060220000000001</v>
      </c>
      <c r="N28" s="5">
        <v>24.200191</v>
      </c>
      <c r="O28" s="5">
        <v>29.256755999999999</v>
      </c>
      <c r="P28" s="5">
        <v>65.562010000000001</v>
      </c>
      <c r="Q28" s="5">
        <v>5.1812279999999999</v>
      </c>
      <c r="R28" s="23" t="s">
        <v>150</v>
      </c>
      <c r="S28" s="19">
        <v>1153.4250817298901</v>
      </c>
      <c r="T28" s="15" t="str">
        <f t="shared" si="0"/>
        <v>https://weather.covercrop-data.org/daily?lat=35.109713&amp;lon=-82.1556826&amp;start=2020-11-16&amp;end=2021-05-14&amp;gddbase=4&amp;gddmin=0&amp;stats=sum(gdd)&amp;output=html</v>
      </c>
    </row>
    <row r="29" spans="1:20" x14ac:dyDescent="0.25">
      <c r="A29" s="6">
        <v>35.109712999999999</v>
      </c>
      <c r="B29" s="3">
        <v>-82.155682600000006</v>
      </c>
      <c r="C29" s="2" t="s">
        <v>5</v>
      </c>
      <c r="D29" s="4">
        <v>44151</v>
      </c>
      <c r="E29" s="4">
        <v>44330</v>
      </c>
      <c r="F29" s="4" t="s">
        <v>137</v>
      </c>
      <c r="G29" s="2" t="s">
        <v>33</v>
      </c>
      <c r="H29" s="2">
        <v>2</v>
      </c>
      <c r="I29" s="22">
        <v>2.1584352999999998</v>
      </c>
      <c r="J29" s="5">
        <v>3.9956632000000001</v>
      </c>
      <c r="K29" s="5">
        <v>3.2407577000000001</v>
      </c>
      <c r="L29" s="5">
        <v>41.283859999999997</v>
      </c>
      <c r="M29" s="5">
        <v>72.153800000000004</v>
      </c>
      <c r="N29" s="5">
        <v>23.502109999999998</v>
      </c>
      <c r="O29" s="5">
        <v>29.129272</v>
      </c>
      <c r="P29" s="5">
        <v>65.830780000000004</v>
      </c>
      <c r="Q29" s="5">
        <v>5.0399446000000001</v>
      </c>
      <c r="R29" s="23" t="s">
        <v>150</v>
      </c>
      <c r="S29" s="19">
        <v>1153.4250817298901</v>
      </c>
      <c r="T29" s="15" t="str">
        <f t="shared" si="0"/>
        <v>https://weather.covercrop-data.org/daily?lat=35.109713&amp;lon=-82.1556826&amp;start=2020-11-16&amp;end=2021-05-14&amp;gddbase=4&amp;gddmin=0&amp;stats=sum(gdd)&amp;output=html</v>
      </c>
    </row>
    <row r="30" spans="1:20" x14ac:dyDescent="0.25">
      <c r="A30" s="6">
        <v>35.266044616699197</v>
      </c>
      <c r="B30" s="3">
        <v>-77.648170471191406</v>
      </c>
      <c r="C30" s="2" t="s">
        <v>5</v>
      </c>
      <c r="D30" s="4">
        <v>43054</v>
      </c>
      <c r="E30" s="4">
        <v>43167</v>
      </c>
      <c r="F30" s="4" t="s">
        <v>132</v>
      </c>
      <c r="G30" s="2" t="s">
        <v>20</v>
      </c>
      <c r="H30" s="2">
        <v>1</v>
      </c>
      <c r="I30" s="22">
        <v>2.69</v>
      </c>
      <c r="J30" s="5">
        <v>14.26</v>
      </c>
      <c r="K30" s="5">
        <v>6.99</v>
      </c>
      <c r="L30" s="5">
        <v>32.200000000000003</v>
      </c>
      <c r="M30" s="5">
        <v>62.98</v>
      </c>
      <c r="N30" s="5">
        <v>13.08</v>
      </c>
      <c r="O30" s="5">
        <v>32.29</v>
      </c>
      <c r="P30" s="5">
        <v>61.7</v>
      </c>
      <c r="Q30" s="5">
        <v>6.01</v>
      </c>
      <c r="R30" s="23"/>
      <c r="S30" s="20">
        <v>573.47504520416305</v>
      </c>
      <c r="T30" s="15" t="str">
        <f t="shared" si="0"/>
        <v>https://weather.covercrop-data.org/daily?lat=35.2660446166992&amp;lon=-77.6481704711914&amp;start=2017-11-15&amp;end=2018-03-08&amp;gddbase=4&amp;gddmin=0&amp;stats=sum(gdd)&amp;output=html</v>
      </c>
    </row>
    <row r="31" spans="1:20" x14ac:dyDescent="0.25">
      <c r="A31" s="6">
        <v>35.266044616699197</v>
      </c>
      <c r="B31" s="3">
        <v>-77.648170471191406</v>
      </c>
      <c r="C31" s="2" t="s">
        <v>5</v>
      </c>
      <c r="D31" s="4">
        <v>43054</v>
      </c>
      <c r="E31" s="4">
        <v>43167</v>
      </c>
      <c r="F31" s="4" t="s">
        <v>132</v>
      </c>
      <c r="G31" s="2" t="s">
        <v>20</v>
      </c>
      <c r="H31" s="2">
        <v>2</v>
      </c>
      <c r="I31" s="22">
        <v>2.5</v>
      </c>
      <c r="J31" s="5">
        <v>14.92</v>
      </c>
      <c r="K31" s="5">
        <v>6.61</v>
      </c>
      <c r="L31" s="5">
        <v>33.92</v>
      </c>
      <c r="M31" s="5">
        <v>65.790000000000006</v>
      </c>
      <c r="N31" s="5">
        <v>10.18</v>
      </c>
      <c r="O31" s="5">
        <v>29.55</v>
      </c>
      <c r="P31" s="5">
        <v>65.19</v>
      </c>
      <c r="Q31" s="5">
        <v>5.26</v>
      </c>
      <c r="R31" s="23"/>
      <c r="S31" s="20">
        <v>573.47504520416305</v>
      </c>
      <c r="T31" s="15" t="str">
        <f t="shared" si="0"/>
        <v>https://weather.covercrop-data.org/daily?lat=35.2660446166992&amp;lon=-77.6481704711914&amp;start=2017-11-15&amp;end=2018-03-08&amp;gddbase=4&amp;gddmin=0&amp;stats=sum(gdd)&amp;output=html</v>
      </c>
    </row>
    <row r="32" spans="1:20" x14ac:dyDescent="0.25">
      <c r="A32" s="6">
        <v>35.269092559814403</v>
      </c>
      <c r="B32" s="3">
        <v>-77.647743225097599</v>
      </c>
      <c r="C32" s="2" t="s">
        <v>5</v>
      </c>
      <c r="D32" s="4">
        <v>43054</v>
      </c>
      <c r="E32" s="4">
        <v>43167</v>
      </c>
      <c r="F32" s="4" t="s">
        <v>132</v>
      </c>
      <c r="G32" s="2" t="s">
        <v>21</v>
      </c>
      <c r="H32" s="2">
        <v>1</v>
      </c>
      <c r="I32" s="22">
        <v>2.69</v>
      </c>
      <c r="J32" s="5">
        <v>14.69</v>
      </c>
      <c r="K32" s="5">
        <v>6.02</v>
      </c>
      <c r="L32" s="5">
        <v>29.91</v>
      </c>
      <c r="M32" s="5">
        <v>59.8</v>
      </c>
      <c r="N32" s="5">
        <v>16.8</v>
      </c>
      <c r="O32" s="5">
        <v>36.369999999999997</v>
      </c>
      <c r="P32" s="5">
        <v>57.26</v>
      </c>
      <c r="Q32" s="5">
        <v>6.37</v>
      </c>
      <c r="R32" s="23"/>
      <c r="S32" s="20">
        <v>573.47504520416305</v>
      </c>
      <c r="T32" s="15" t="str">
        <f t="shared" si="0"/>
        <v>https://weather.covercrop-data.org/daily?lat=35.2690925598144&amp;lon=-77.6477432250976&amp;start=2017-11-15&amp;end=2018-03-08&amp;gddbase=4&amp;gddmin=0&amp;stats=sum(gdd)&amp;output=html</v>
      </c>
    </row>
    <row r="33" spans="1:20" x14ac:dyDescent="0.25">
      <c r="A33" s="6">
        <v>35.269092559814403</v>
      </c>
      <c r="B33" s="3">
        <v>-77.647743225097599</v>
      </c>
      <c r="C33" s="2" t="s">
        <v>5</v>
      </c>
      <c r="D33" s="4">
        <v>43054</v>
      </c>
      <c r="E33" s="4">
        <v>43167</v>
      </c>
      <c r="F33" s="4" t="s">
        <v>132</v>
      </c>
      <c r="G33" s="2" t="s">
        <v>21</v>
      </c>
      <c r="H33" s="2">
        <v>2</v>
      </c>
      <c r="I33" s="22">
        <v>2.66</v>
      </c>
      <c r="J33" s="5">
        <v>14.32</v>
      </c>
      <c r="K33" s="5">
        <v>4.74</v>
      </c>
      <c r="L33" s="5">
        <v>30.63</v>
      </c>
      <c r="M33" s="5">
        <v>62.06</v>
      </c>
      <c r="N33" s="5">
        <v>16.22</v>
      </c>
      <c r="O33" s="5">
        <v>34.85</v>
      </c>
      <c r="P33" s="5">
        <v>58.78</v>
      </c>
      <c r="Q33" s="5">
        <v>6.37</v>
      </c>
      <c r="R33" s="23"/>
      <c r="S33" s="20">
        <v>573.47504520416305</v>
      </c>
      <c r="T33" s="15" t="str">
        <f t="shared" si="0"/>
        <v>https://weather.covercrop-data.org/daily?lat=35.2690925598144&amp;lon=-77.6477432250976&amp;start=2017-11-15&amp;end=2018-03-08&amp;gddbase=4&amp;gddmin=0&amp;stats=sum(gdd)&amp;output=html</v>
      </c>
    </row>
    <row r="34" spans="1:20" x14ac:dyDescent="0.25">
      <c r="A34" s="6">
        <v>35.269180297851499</v>
      </c>
      <c r="B34" s="3">
        <v>-77.655746459960895</v>
      </c>
      <c r="C34" s="2" t="s">
        <v>5</v>
      </c>
      <c r="D34" s="4">
        <v>43388</v>
      </c>
      <c r="E34" s="4">
        <v>43563</v>
      </c>
      <c r="F34" s="4" t="s">
        <v>132</v>
      </c>
      <c r="G34" s="2" t="s">
        <v>23</v>
      </c>
      <c r="H34" s="2">
        <v>1</v>
      </c>
      <c r="I34" s="22">
        <v>2.66</v>
      </c>
      <c r="J34" s="5">
        <v>8.64</v>
      </c>
      <c r="K34" s="5">
        <v>3.49</v>
      </c>
      <c r="L34" s="5">
        <v>31.86</v>
      </c>
      <c r="M34" s="5">
        <v>59.68</v>
      </c>
      <c r="N34" s="5">
        <v>25.53</v>
      </c>
      <c r="O34" s="5">
        <v>38.159999999999997</v>
      </c>
      <c r="P34" s="5">
        <v>56.96</v>
      </c>
      <c r="Q34" s="5">
        <v>4.88</v>
      </c>
      <c r="R34" s="23"/>
      <c r="S34" s="20">
        <v>1143.7950387000999</v>
      </c>
      <c r="T34" s="15" t="str">
        <f t="shared" si="0"/>
        <v>https://weather.covercrop-data.org/daily?lat=35.2691802978515&amp;lon=-77.6557464599609&amp;start=2018-10-15&amp;end=2019-04-08&amp;gddbase=4&amp;gddmin=0&amp;stats=sum(gdd)&amp;output=html</v>
      </c>
    </row>
    <row r="35" spans="1:20" x14ac:dyDescent="0.25">
      <c r="A35" s="6">
        <v>35.269180297851499</v>
      </c>
      <c r="B35" s="3">
        <v>-77.655746459960895</v>
      </c>
      <c r="C35" s="2" t="s">
        <v>5</v>
      </c>
      <c r="D35" s="4">
        <v>43388</v>
      </c>
      <c r="E35" s="4">
        <v>43563</v>
      </c>
      <c r="F35" s="4" t="s">
        <v>132</v>
      </c>
      <c r="G35" s="2" t="s">
        <v>23</v>
      </c>
      <c r="H35" s="2">
        <v>2</v>
      </c>
      <c r="I35" s="22">
        <v>2.79</v>
      </c>
      <c r="J35" s="5">
        <v>8.36</v>
      </c>
      <c r="K35" s="5">
        <v>2.89</v>
      </c>
      <c r="L35" s="5">
        <v>33.75</v>
      </c>
      <c r="M35" s="5">
        <v>63.12</v>
      </c>
      <c r="N35" s="5">
        <v>22.84</v>
      </c>
      <c r="O35" s="5">
        <v>35</v>
      </c>
      <c r="P35" s="5">
        <v>59.21</v>
      </c>
      <c r="Q35" s="5">
        <v>5.79</v>
      </c>
      <c r="R35" s="23"/>
      <c r="S35" s="20">
        <v>1143.7950387000999</v>
      </c>
      <c r="T35" s="15" t="str">
        <f t="shared" si="0"/>
        <v>https://weather.covercrop-data.org/daily?lat=35.2691802978515&amp;lon=-77.6557464599609&amp;start=2018-10-15&amp;end=2019-04-08&amp;gddbase=4&amp;gddmin=0&amp;stats=sum(gdd)&amp;output=html</v>
      </c>
    </row>
    <row r="36" spans="1:20" x14ac:dyDescent="0.25">
      <c r="A36" s="6">
        <v>35.272308349609297</v>
      </c>
      <c r="B36" s="3">
        <v>-77.613700866699205</v>
      </c>
      <c r="C36" s="2" t="s">
        <v>5</v>
      </c>
      <c r="D36" s="4">
        <v>43388</v>
      </c>
      <c r="E36" s="4">
        <v>43543</v>
      </c>
      <c r="F36" s="4" t="s">
        <v>132</v>
      </c>
      <c r="G36" s="2" t="s">
        <v>22</v>
      </c>
      <c r="H36" s="2">
        <v>1</v>
      </c>
      <c r="I36" s="22">
        <v>2.67</v>
      </c>
      <c r="J36" s="5">
        <v>10.55</v>
      </c>
      <c r="K36" s="5">
        <v>3.52</v>
      </c>
      <c r="L36" s="5">
        <v>28.23</v>
      </c>
      <c r="M36" s="5">
        <v>56.22</v>
      </c>
      <c r="N36" s="5">
        <v>27.04</v>
      </c>
      <c r="O36" s="5">
        <v>41.73</v>
      </c>
      <c r="P36" s="5">
        <v>53.24</v>
      </c>
      <c r="Q36" s="5">
        <v>5.03</v>
      </c>
      <c r="R36" s="23"/>
      <c r="S36" s="20">
        <v>998.81002092361496</v>
      </c>
      <c r="T36" s="15" t="str">
        <f t="shared" si="0"/>
        <v>https://weather.covercrop-data.org/daily?lat=35.2723083496093&amp;lon=-77.6137008666992&amp;start=2018-10-15&amp;end=2019-03-19&amp;gddbase=4&amp;gddmin=0&amp;stats=sum(gdd)&amp;output=html</v>
      </c>
    </row>
    <row r="37" spans="1:20" x14ac:dyDescent="0.25">
      <c r="A37" s="6">
        <v>35.272308349609297</v>
      </c>
      <c r="B37" s="3">
        <v>-77.613700866699205</v>
      </c>
      <c r="C37" s="2" t="s">
        <v>5</v>
      </c>
      <c r="D37" s="4">
        <v>43388</v>
      </c>
      <c r="E37" s="4">
        <v>43543</v>
      </c>
      <c r="F37" s="4" t="s">
        <v>132</v>
      </c>
      <c r="G37" s="2" t="s">
        <v>22</v>
      </c>
      <c r="H37" s="2">
        <v>2</v>
      </c>
      <c r="I37" s="22">
        <v>2.4500000000000002</v>
      </c>
      <c r="J37" s="5">
        <v>9.49</v>
      </c>
      <c r="K37" s="5">
        <v>3.64</v>
      </c>
      <c r="L37" s="5">
        <v>31.21</v>
      </c>
      <c r="M37" s="5">
        <v>59.95</v>
      </c>
      <c r="N37" s="5">
        <v>24.47</v>
      </c>
      <c r="O37" s="5">
        <v>37.79</v>
      </c>
      <c r="P37" s="5">
        <v>56.85</v>
      </c>
      <c r="Q37" s="5">
        <v>5.37</v>
      </c>
      <c r="R37" s="23"/>
      <c r="S37" s="20">
        <v>998.81002092361496</v>
      </c>
      <c r="T37" s="15" t="str">
        <f t="shared" si="0"/>
        <v>https://weather.covercrop-data.org/daily?lat=35.2723083496093&amp;lon=-77.6137008666992&amp;start=2018-10-15&amp;end=2019-03-19&amp;gddbase=4&amp;gddmin=0&amp;stats=sum(gdd)&amp;output=html</v>
      </c>
    </row>
    <row r="38" spans="1:20" x14ac:dyDescent="0.25">
      <c r="A38" s="6">
        <v>35.313125513971002</v>
      </c>
      <c r="B38" s="3">
        <v>-80.166233499780006</v>
      </c>
      <c r="C38" s="2" t="s">
        <v>5</v>
      </c>
      <c r="D38" s="4">
        <v>44505</v>
      </c>
      <c r="E38" s="4">
        <v>44671</v>
      </c>
      <c r="F38" s="4" t="s">
        <v>132</v>
      </c>
      <c r="G38" s="2" t="s">
        <v>15</v>
      </c>
      <c r="H38" s="2">
        <v>1</v>
      </c>
      <c r="I38" s="22">
        <v>2.3977407999999998</v>
      </c>
      <c r="J38" s="5">
        <v>8.4883369999999996</v>
      </c>
      <c r="K38" s="5">
        <v>6.6539636</v>
      </c>
      <c r="L38" s="5">
        <v>31.457369</v>
      </c>
      <c r="M38" s="5">
        <v>55.598779999999998</v>
      </c>
      <c r="N38" s="5">
        <v>30.753091999999999</v>
      </c>
      <c r="O38" s="5">
        <v>45.967472000000001</v>
      </c>
      <c r="P38" s="5">
        <v>50.908436000000002</v>
      </c>
      <c r="Q38" s="5">
        <v>3.1240907</v>
      </c>
      <c r="R38" s="23"/>
      <c r="S38" s="20">
        <v>1070.03005313873</v>
      </c>
      <c r="T38" s="15" t="str">
        <f t="shared" si="0"/>
        <v>https://weather.covercrop-data.org/daily?lat=35.313125513971&amp;lon=-80.16623349978&amp;start=2021-11-05&amp;end=2022-04-20&amp;gddbase=4&amp;gddmin=0&amp;stats=sum(gdd)&amp;output=html</v>
      </c>
    </row>
    <row r="39" spans="1:20" x14ac:dyDescent="0.25">
      <c r="A39" s="6">
        <v>35.313125513971002</v>
      </c>
      <c r="B39" s="3">
        <v>-80.166233499780006</v>
      </c>
      <c r="C39" s="2" t="s">
        <v>5</v>
      </c>
      <c r="D39" s="4">
        <v>44505</v>
      </c>
      <c r="E39" s="4">
        <v>44671</v>
      </c>
      <c r="F39" s="4" t="s">
        <v>132</v>
      </c>
      <c r="G39" s="2" t="s">
        <v>15</v>
      </c>
      <c r="H39" s="2">
        <v>2</v>
      </c>
      <c r="I39" s="22">
        <v>2.5141740000000001</v>
      </c>
      <c r="J39" s="5">
        <v>9.3288589999999996</v>
      </c>
      <c r="K39" s="5">
        <v>7.7253394000000002</v>
      </c>
      <c r="L39" s="5">
        <v>32.299273999999997</v>
      </c>
      <c r="M39" s="5">
        <v>54.662506</v>
      </c>
      <c r="N39" s="5">
        <v>29.595497000000002</v>
      </c>
      <c r="O39" s="5">
        <v>46.889057000000001</v>
      </c>
      <c r="P39" s="5">
        <v>49.691265000000001</v>
      </c>
      <c r="Q39" s="5">
        <v>3.4196773</v>
      </c>
      <c r="R39" s="23"/>
      <c r="S39" s="20">
        <v>1070.03005313873</v>
      </c>
      <c r="T39" s="15" t="str">
        <f t="shared" si="0"/>
        <v>https://weather.covercrop-data.org/daily?lat=35.313125513971&amp;lon=-80.16623349978&amp;start=2021-11-05&amp;end=2022-04-20&amp;gddbase=4&amp;gddmin=0&amp;stats=sum(gdd)&amp;output=html</v>
      </c>
    </row>
    <row r="40" spans="1:20" x14ac:dyDescent="0.25">
      <c r="A40" s="6">
        <v>35.36909866333</v>
      </c>
      <c r="B40" s="3">
        <v>-81.650802612304602</v>
      </c>
      <c r="C40" s="2" t="s">
        <v>5</v>
      </c>
      <c r="D40" s="4">
        <v>44105</v>
      </c>
      <c r="E40" s="4">
        <v>44260</v>
      </c>
      <c r="F40" s="4" t="s">
        <v>132</v>
      </c>
      <c r="G40" s="2" t="s">
        <v>41</v>
      </c>
      <c r="H40" s="2">
        <v>1</v>
      </c>
      <c r="I40" s="22">
        <v>2.7429679999999999</v>
      </c>
      <c r="J40" s="5">
        <v>6.8487606000000003</v>
      </c>
      <c r="K40" s="5">
        <v>10.628636999999999</v>
      </c>
      <c r="L40" s="5">
        <v>27.17</v>
      </c>
      <c r="M40" s="5">
        <v>46.489806999999999</v>
      </c>
      <c r="N40" s="5">
        <v>36.544113000000003</v>
      </c>
      <c r="O40" s="5">
        <v>49.808926</v>
      </c>
      <c r="P40" s="5">
        <v>47.769565999999998</v>
      </c>
      <c r="Q40" s="5">
        <v>2.4215087999999998</v>
      </c>
      <c r="R40" s="23" t="s">
        <v>152</v>
      </c>
      <c r="S40" s="20">
        <v>985.35003614425705</v>
      </c>
      <c r="T40" s="15" t="str">
        <f t="shared" si="0"/>
        <v>https://weather.covercrop-data.org/daily?lat=35.36909866333&amp;lon=-81.6508026123046&amp;start=2020-10-01&amp;end=2021-03-05&amp;gddbase=4&amp;gddmin=0&amp;stats=sum(gdd)&amp;output=html</v>
      </c>
    </row>
    <row r="41" spans="1:20" x14ac:dyDescent="0.25">
      <c r="A41" s="6">
        <v>35.36909866333</v>
      </c>
      <c r="B41" s="3">
        <v>-81.650802612304602</v>
      </c>
      <c r="C41" s="2" t="s">
        <v>5</v>
      </c>
      <c r="D41" s="4">
        <v>44105</v>
      </c>
      <c r="E41" s="4">
        <v>44260</v>
      </c>
      <c r="F41" s="4" t="s">
        <v>132</v>
      </c>
      <c r="G41" s="2" t="s">
        <v>41</v>
      </c>
      <c r="H41" s="2">
        <v>2</v>
      </c>
      <c r="I41" s="22">
        <v>2.9309750000000001</v>
      </c>
      <c r="J41" s="5">
        <v>7.7918835</v>
      </c>
      <c r="K41" s="5">
        <v>9.643008</v>
      </c>
      <c r="L41" s="5">
        <v>27.603470000000002</v>
      </c>
      <c r="M41" s="5">
        <v>47.886180000000003</v>
      </c>
      <c r="N41" s="5">
        <v>35.099983000000002</v>
      </c>
      <c r="O41" s="5">
        <v>48.899070000000002</v>
      </c>
      <c r="P41" s="5">
        <v>48.372819999999997</v>
      </c>
      <c r="Q41" s="5">
        <v>2.7281046</v>
      </c>
      <c r="R41" s="23" t="s">
        <v>152</v>
      </c>
      <c r="S41" s="20">
        <v>985.35003614425705</v>
      </c>
      <c r="T41" s="15" t="str">
        <f t="shared" si="0"/>
        <v>https://weather.covercrop-data.org/daily?lat=35.36909866333&amp;lon=-81.6508026123046&amp;start=2020-10-01&amp;end=2021-03-05&amp;gddbase=4&amp;gddmin=0&amp;stats=sum(gdd)&amp;output=html</v>
      </c>
    </row>
    <row r="42" spans="1:20" x14ac:dyDescent="0.25">
      <c r="A42" s="6">
        <v>36.698307037353501</v>
      </c>
      <c r="B42" s="3">
        <v>-76.018218994140597</v>
      </c>
      <c r="C42" s="2" t="s">
        <v>5</v>
      </c>
      <c r="D42" s="4">
        <v>44109</v>
      </c>
      <c r="E42" s="4">
        <v>44307</v>
      </c>
      <c r="F42" s="4" t="s">
        <v>133</v>
      </c>
      <c r="G42" s="2" t="s">
        <v>40</v>
      </c>
      <c r="H42" s="2">
        <v>1</v>
      </c>
      <c r="I42" s="22">
        <v>2.0079330999999998</v>
      </c>
      <c r="J42" s="5">
        <v>5.8437653000000003</v>
      </c>
      <c r="K42" s="5">
        <v>3.1781888</v>
      </c>
      <c r="L42" s="5">
        <v>29.390893999999999</v>
      </c>
      <c r="M42" s="5">
        <v>46.34843</v>
      </c>
      <c r="N42" s="5">
        <v>45.866073999999998</v>
      </c>
      <c r="O42" s="5">
        <v>53.682229999999997</v>
      </c>
      <c r="P42" s="5">
        <v>43.539340000000003</v>
      </c>
      <c r="Q42" s="5">
        <v>2.7784255</v>
      </c>
      <c r="R42" s="23" t="s">
        <v>151</v>
      </c>
      <c r="S42" s="20">
        <v>1382.45007228851</v>
      </c>
      <c r="T42" s="15" t="str">
        <f t="shared" si="0"/>
        <v>https://weather.covercrop-data.org/daily?lat=36.6983070373535&amp;lon=-76.0182189941406&amp;start=2020-10-05&amp;end=2021-04-21&amp;gddbase=4&amp;gddmin=0&amp;stats=sum(gdd)&amp;output=html</v>
      </c>
    </row>
    <row r="43" spans="1:20" x14ac:dyDescent="0.25">
      <c r="A43" s="6">
        <v>36.698307037353501</v>
      </c>
      <c r="B43" s="3">
        <v>-76.018218994140597</v>
      </c>
      <c r="C43" s="2" t="s">
        <v>5</v>
      </c>
      <c r="D43" s="4">
        <v>44109</v>
      </c>
      <c r="E43" s="4">
        <v>44307</v>
      </c>
      <c r="F43" s="4" t="s">
        <v>133</v>
      </c>
      <c r="G43" s="2" t="s">
        <v>40</v>
      </c>
      <c r="H43" s="2">
        <v>2</v>
      </c>
      <c r="I43" s="22">
        <v>2.2865666999999998</v>
      </c>
      <c r="J43" s="5">
        <v>7.0416629999999998</v>
      </c>
      <c r="K43" s="5">
        <v>4.9356327000000002</v>
      </c>
      <c r="L43" s="5">
        <v>28.135538</v>
      </c>
      <c r="M43" s="5">
        <v>43.966740000000001</v>
      </c>
      <c r="N43" s="5">
        <v>44.847070000000002</v>
      </c>
      <c r="O43" s="5">
        <v>55.200912000000002</v>
      </c>
      <c r="P43" s="5">
        <v>42.077210000000001</v>
      </c>
      <c r="Q43" s="5">
        <v>2.7218795</v>
      </c>
      <c r="R43" s="23" t="s">
        <v>151</v>
      </c>
      <c r="S43" s="20">
        <v>1382.45007228851</v>
      </c>
      <c r="T43" s="15" t="str">
        <f t="shared" si="0"/>
        <v>https://weather.covercrop-data.org/daily?lat=36.6983070373535&amp;lon=-76.0182189941406&amp;start=2020-10-05&amp;end=2021-04-21&amp;gddbase=4&amp;gddmin=0&amp;stats=sum(gdd)&amp;output=html</v>
      </c>
    </row>
    <row r="44" spans="1:20" x14ac:dyDescent="0.25">
      <c r="A44" s="6">
        <v>36.722698211669901</v>
      </c>
      <c r="B44" s="3">
        <v>-75.993301391601506</v>
      </c>
      <c r="C44" s="2" t="s">
        <v>5</v>
      </c>
      <c r="D44" s="4">
        <v>44109</v>
      </c>
      <c r="E44" s="4">
        <v>44307</v>
      </c>
      <c r="F44" s="4" t="s">
        <v>133</v>
      </c>
      <c r="G44" s="2" t="s">
        <v>39</v>
      </c>
      <c r="H44" s="2">
        <v>1</v>
      </c>
      <c r="I44" s="22">
        <v>2.6695625999999999</v>
      </c>
      <c r="J44" s="5">
        <v>13.366344</v>
      </c>
      <c r="K44" s="5">
        <v>8.8652200000000008</v>
      </c>
      <c r="L44" s="5">
        <v>30.248709000000002</v>
      </c>
      <c r="M44" s="5">
        <v>48.693854999999999</v>
      </c>
      <c r="N44" s="5">
        <v>29.813586999999998</v>
      </c>
      <c r="O44" s="5">
        <v>48.495739999999998</v>
      </c>
      <c r="P44" s="5">
        <v>47.782029999999999</v>
      </c>
      <c r="Q44" s="5">
        <v>3.7222339999999998</v>
      </c>
      <c r="R44" s="23" t="s">
        <v>153</v>
      </c>
      <c r="S44" s="20">
        <v>1449.0850806236299</v>
      </c>
      <c r="T44" s="15" t="str">
        <f t="shared" si="0"/>
        <v>https://weather.covercrop-data.org/daily?lat=36.7226982116699&amp;lon=-75.9933013916015&amp;start=2020-10-05&amp;end=2021-04-21&amp;gddbase=4&amp;gddmin=0&amp;stats=sum(gdd)&amp;output=html</v>
      </c>
    </row>
    <row r="45" spans="1:20" x14ac:dyDescent="0.25">
      <c r="A45" s="6">
        <v>36.722698211669901</v>
      </c>
      <c r="B45" s="3">
        <v>-75.993301391601506</v>
      </c>
      <c r="C45" s="2" t="s">
        <v>5</v>
      </c>
      <c r="D45" s="4">
        <v>44109</v>
      </c>
      <c r="E45" s="4">
        <v>44307</v>
      </c>
      <c r="F45" s="4" t="s">
        <v>133</v>
      </c>
      <c r="G45" s="2" t="s">
        <v>39</v>
      </c>
      <c r="H45" s="2">
        <v>2</v>
      </c>
      <c r="I45" s="22">
        <v>2.6553589999999998</v>
      </c>
      <c r="J45" s="5">
        <v>20.543232</v>
      </c>
      <c r="K45" s="5">
        <v>9.3423660000000002</v>
      </c>
      <c r="L45" s="5">
        <v>28.432303999999998</v>
      </c>
      <c r="M45" s="5">
        <v>46.217686</v>
      </c>
      <c r="N45" s="5">
        <v>24.476595</v>
      </c>
      <c r="O45" s="5">
        <v>50.776150000000001</v>
      </c>
      <c r="P45" s="5">
        <v>45.345962999999998</v>
      </c>
      <c r="Q45" s="5">
        <v>3.8778883999999998</v>
      </c>
      <c r="R45" s="23" t="s">
        <v>153</v>
      </c>
      <c r="S45" s="20">
        <v>1449.0850806236299</v>
      </c>
      <c r="T45" s="15" t="str">
        <f t="shared" si="0"/>
        <v>https://weather.covercrop-data.org/daily?lat=36.7226982116699&amp;lon=-75.9933013916015&amp;start=2020-10-05&amp;end=2021-04-21&amp;gddbase=4&amp;gddmin=0&amp;stats=sum(gdd)&amp;output=html</v>
      </c>
    </row>
    <row r="46" spans="1:20" x14ac:dyDescent="0.25">
      <c r="A46" s="6">
        <v>37.838712999999998</v>
      </c>
      <c r="B46" s="3">
        <v>-76.427078899999998</v>
      </c>
      <c r="C46" s="2" t="s">
        <v>5</v>
      </c>
      <c r="D46" s="4">
        <v>44468</v>
      </c>
      <c r="E46" s="4">
        <v>44683</v>
      </c>
      <c r="F46" s="4" t="s">
        <v>133</v>
      </c>
      <c r="G46" s="2" t="s">
        <v>34</v>
      </c>
      <c r="H46" s="2">
        <v>1</v>
      </c>
      <c r="I46" s="22">
        <v>1.6448990000000001</v>
      </c>
      <c r="J46" s="5">
        <v>6.0744470000000002</v>
      </c>
      <c r="K46" s="5">
        <v>2.2611029999999999</v>
      </c>
      <c r="L46" s="5">
        <v>40.722349999999999</v>
      </c>
      <c r="M46" s="5">
        <v>70.207769999999996</v>
      </c>
      <c r="N46" s="5">
        <v>24.726324000000002</v>
      </c>
      <c r="O46" s="5">
        <v>32.318869999999997</v>
      </c>
      <c r="P46" s="5">
        <v>62.274790000000003</v>
      </c>
      <c r="Q46" s="5">
        <v>5.4063387000000001</v>
      </c>
      <c r="R46" s="23"/>
      <c r="S46" s="20">
        <v>1355.37510585785</v>
      </c>
      <c r="T46" s="15" t="str">
        <f t="shared" si="0"/>
        <v>https://weather.covercrop-data.org/daily?lat=37.838713&amp;lon=-76.4270789&amp;start=2021-09-29&amp;end=2022-05-02&amp;gddbase=4&amp;gddmin=0&amp;stats=sum(gdd)&amp;output=html</v>
      </c>
    </row>
    <row r="47" spans="1:20" x14ac:dyDescent="0.25">
      <c r="A47" s="6">
        <v>37.838712999999998</v>
      </c>
      <c r="B47" s="3">
        <v>-76.427078899999998</v>
      </c>
      <c r="C47" s="2" t="s">
        <v>5</v>
      </c>
      <c r="D47" s="4">
        <v>44468</v>
      </c>
      <c r="E47" s="4">
        <v>44683</v>
      </c>
      <c r="F47" s="4" t="s">
        <v>133</v>
      </c>
      <c r="G47" s="2" t="s">
        <v>34</v>
      </c>
      <c r="H47" s="2">
        <v>2</v>
      </c>
      <c r="I47" s="22">
        <v>1.4165905000000001</v>
      </c>
      <c r="J47" s="5">
        <v>5.1001770000000004</v>
      </c>
      <c r="K47" s="5">
        <v>2.3263837999999999</v>
      </c>
      <c r="L47" s="5">
        <v>42.608919999999998</v>
      </c>
      <c r="M47" s="5">
        <v>69.495459999999994</v>
      </c>
      <c r="N47" s="5">
        <v>26.526071999999999</v>
      </c>
      <c r="O47" s="5">
        <v>32.972965000000002</v>
      </c>
      <c r="P47" s="5">
        <v>61.248801999999998</v>
      </c>
      <c r="Q47" s="5">
        <v>5.7782330000000002</v>
      </c>
      <c r="R47" s="23"/>
      <c r="S47" s="20">
        <v>1355.37510585785</v>
      </c>
      <c r="T47" s="15" t="str">
        <f t="shared" si="0"/>
        <v>https://weather.covercrop-data.org/daily?lat=37.838713&amp;lon=-76.4270789&amp;start=2021-09-29&amp;end=2022-05-02&amp;gddbase=4&amp;gddmin=0&amp;stats=sum(gdd)&amp;output=html</v>
      </c>
    </row>
    <row r="48" spans="1:20" x14ac:dyDescent="0.25">
      <c r="A48" s="6">
        <v>38.678444474287197</v>
      </c>
      <c r="B48" s="3">
        <v>-75.223353104755304</v>
      </c>
      <c r="C48" s="2" t="s">
        <v>5</v>
      </c>
      <c r="D48" s="4">
        <v>44491</v>
      </c>
      <c r="E48" s="4">
        <v>44663</v>
      </c>
      <c r="F48" s="4" t="s">
        <v>138</v>
      </c>
      <c r="G48" s="2" t="s">
        <v>32</v>
      </c>
      <c r="H48" s="2">
        <v>1</v>
      </c>
      <c r="I48" s="22">
        <v>2.395921</v>
      </c>
      <c r="J48" s="5">
        <v>11.688545</v>
      </c>
      <c r="K48" s="5">
        <v>7.1906223000000002</v>
      </c>
      <c r="L48" s="5">
        <v>24.975296</v>
      </c>
      <c r="M48" s="5">
        <v>44.757669999999997</v>
      </c>
      <c r="N48" s="5">
        <v>37.100276999999998</v>
      </c>
      <c r="O48" s="5">
        <v>57.671787000000002</v>
      </c>
      <c r="P48" s="5">
        <v>38.444755999999998</v>
      </c>
      <c r="Q48" s="5">
        <v>3.8834572000000001</v>
      </c>
      <c r="R48" s="23"/>
      <c r="S48" s="20">
        <v>700.01012420654297</v>
      </c>
      <c r="T48" s="15" t="str">
        <f t="shared" si="0"/>
        <v>https://weather.covercrop-data.org/daily?lat=38.6784444742872&amp;lon=-75.2233531047553&amp;start=2021-10-22&amp;end=2022-04-12&amp;gddbase=4&amp;gddmin=0&amp;stats=sum(gdd)&amp;output=html</v>
      </c>
    </row>
    <row r="49" spans="1:20" x14ac:dyDescent="0.25">
      <c r="A49" s="6">
        <v>38.678444474287197</v>
      </c>
      <c r="B49" s="3">
        <v>-75.223353104755304</v>
      </c>
      <c r="C49" s="2" t="s">
        <v>5</v>
      </c>
      <c r="D49" s="4">
        <v>44491</v>
      </c>
      <c r="E49" s="4">
        <v>44663</v>
      </c>
      <c r="F49" s="4" t="s">
        <v>138</v>
      </c>
      <c r="G49" s="2" t="s">
        <v>32</v>
      </c>
      <c r="H49" s="2">
        <v>2</v>
      </c>
      <c r="I49" s="22">
        <v>2.5655598999999998</v>
      </c>
      <c r="J49" s="5">
        <v>14.185062</v>
      </c>
      <c r="K49" s="5">
        <v>7.3203469999999999</v>
      </c>
      <c r="L49" s="5">
        <v>25.294384000000001</v>
      </c>
      <c r="M49" s="5">
        <v>46.669327000000003</v>
      </c>
      <c r="N49" s="5">
        <v>32.526558000000001</v>
      </c>
      <c r="O49" s="5">
        <v>55.601165999999999</v>
      </c>
      <c r="P49" s="5">
        <v>40.060504999999999</v>
      </c>
      <c r="Q49" s="5">
        <v>4.3383289999999999</v>
      </c>
      <c r="R49" s="23"/>
      <c r="S49" s="20">
        <v>700.01012420654297</v>
      </c>
      <c r="T49" s="15" t="str">
        <f t="shared" si="0"/>
        <v>https://weather.covercrop-data.org/daily?lat=38.6784444742872&amp;lon=-75.2233531047553&amp;start=2021-10-22&amp;end=2022-04-12&amp;gddbase=4&amp;gddmin=0&amp;stats=sum(gdd)&amp;output=html</v>
      </c>
    </row>
    <row r="50" spans="1:20" x14ac:dyDescent="0.25">
      <c r="A50" s="6">
        <v>38.914512634277301</v>
      </c>
      <c r="B50" s="3">
        <v>-76.143081665039006</v>
      </c>
      <c r="C50" s="2" t="s">
        <v>5</v>
      </c>
      <c r="D50" s="4">
        <v>43006</v>
      </c>
      <c r="E50" s="4">
        <v>43217</v>
      </c>
      <c r="F50" s="4" t="s">
        <v>139</v>
      </c>
      <c r="G50" s="2" t="s">
        <v>45</v>
      </c>
      <c r="H50" s="2">
        <v>1</v>
      </c>
      <c r="I50" s="22">
        <v>3.1</v>
      </c>
      <c r="J50" s="5">
        <v>20.36</v>
      </c>
      <c r="K50" s="5">
        <v>8.7799999999999994</v>
      </c>
      <c r="L50" s="5">
        <v>24.21</v>
      </c>
      <c r="M50" s="5">
        <v>46.35</v>
      </c>
      <c r="N50" s="5">
        <v>21.41</v>
      </c>
      <c r="O50" s="5">
        <v>49.19</v>
      </c>
      <c r="P50" s="5">
        <v>45.65</v>
      </c>
      <c r="Q50" s="5">
        <v>5.16</v>
      </c>
      <c r="R50" s="23"/>
      <c r="S50" s="20">
        <v>976.36008214950596</v>
      </c>
      <c r="T50" s="15" t="str">
        <f t="shared" si="0"/>
        <v>https://weather.covercrop-data.org/daily?lat=38.9145126342773&amp;lon=-76.143081665039&amp;start=2017-09-28&amp;end=2018-04-27&amp;gddbase=4&amp;gddmin=0&amp;stats=sum(gdd)&amp;output=html</v>
      </c>
    </row>
    <row r="51" spans="1:20" x14ac:dyDescent="0.25">
      <c r="A51" s="6">
        <v>38.914512634277301</v>
      </c>
      <c r="B51" s="3">
        <v>-76.143081665039006</v>
      </c>
      <c r="C51" s="2" t="s">
        <v>5</v>
      </c>
      <c r="D51" s="4">
        <v>43006</v>
      </c>
      <c r="E51" s="4">
        <v>43217</v>
      </c>
      <c r="F51" s="4" t="s">
        <v>139</v>
      </c>
      <c r="G51" s="2" t="s">
        <v>45</v>
      </c>
      <c r="H51" s="2">
        <v>2</v>
      </c>
      <c r="I51" s="22">
        <v>3.04</v>
      </c>
      <c r="J51" s="5">
        <v>19.489999999999998</v>
      </c>
      <c r="K51" s="5">
        <v>8.1</v>
      </c>
      <c r="L51" s="5">
        <v>25.12</v>
      </c>
      <c r="M51" s="5">
        <v>48.64</v>
      </c>
      <c r="N51" s="5">
        <v>20.73</v>
      </c>
      <c r="O51" s="5">
        <v>47.07</v>
      </c>
      <c r="P51" s="5">
        <v>47.49</v>
      </c>
      <c r="Q51" s="5">
        <v>5.44</v>
      </c>
      <c r="R51" s="23"/>
      <c r="S51" s="20">
        <v>976.36008214950596</v>
      </c>
      <c r="T51" s="15" t="str">
        <f t="shared" si="0"/>
        <v>https://weather.covercrop-data.org/daily?lat=38.9145126342773&amp;lon=-76.143081665039&amp;start=2017-09-28&amp;end=2018-04-27&amp;gddbase=4&amp;gddmin=0&amp;stats=sum(gdd)&amp;output=html</v>
      </c>
    </row>
    <row r="52" spans="1:20" x14ac:dyDescent="0.25">
      <c r="A52" s="6">
        <v>38.970203399658203</v>
      </c>
      <c r="B52" s="3">
        <v>-75.847908020019503</v>
      </c>
      <c r="C52" s="2" t="s">
        <v>5</v>
      </c>
      <c r="D52" s="4">
        <v>43003</v>
      </c>
      <c r="E52" s="4">
        <v>43208</v>
      </c>
      <c r="F52" s="4" t="s">
        <v>139</v>
      </c>
      <c r="G52" s="2" t="s">
        <v>51</v>
      </c>
      <c r="H52" s="2">
        <v>1</v>
      </c>
      <c r="I52" s="22">
        <v>2.85</v>
      </c>
      <c r="J52" s="5">
        <v>13.22</v>
      </c>
      <c r="K52" s="5">
        <v>5.42</v>
      </c>
      <c r="L52" s="5">
        <v>30.22</v>
      </c>
      <c r="M52" s="5">
        <v>58.04</v>
      </c>
      <c r="N52" s="5">
        <v>20.47</v>
      </c>
      <c r="O52" s="5">
        <v>38.630000000000003</v>
      </c>
      <c r="P52" s="5">
        <v>55.85</v>
      </c>
      <c r="Q52" s="5">
        <v>5.52</v>
      </c>
      <c r="R52" s="23"/>
      <c r="S52" s="20">
        <v>985.66011381149303</v>
      </c>
      <c r="T52" s="15" t="str">
        <f t="shared" si="0"/>
        <v>https://weather.covercrop-data.org/daily?lat=38.9702033996582&amp;lon=-75.8479080200195&amp;start=2017-09-25&amp;end=2018-04-18&amp;gddbase=4&amp;gddmin=0&amp;stats=sum(gdd)&amp;output=html</v>
      </c>
    </row>
    <row r="53" spans="1:20" x14ac:dyDescent="0.25">
      <c r="A53" s="6">
        <v>38.970203399658203</v>
      </c>
      <c r="B53" s="3">
        <v>-75.847908020019503</v>
      </c>
      <c r="C53" s="2" t="s">
        <v>5</v>
      </c>
      <c r="D53" s="4">
        <v>43003</v>
      </c>
      <c r="E53" s="4">
        <v>43208</v>
      </c>
      <c r="F53" s="4" t="s">
        <v>139</v>
      </c>
      <c r="G53" s="2" t="s">
        <v>51</v>
      </c>
      <c r="H53" s="2">
        <v>2</v>
      </c>
      <c r="I53" s="22">
        <v>2.73</v>
      </c>
      <c r="J53" s="5">
        <v>12.23</v>
      </c>
      <c r="K53" s="5">
        <v>3.56</v>
      </c>
      <c r="L53" s="5">
        <v>30.35</v>
      </c>
      <c r="M53" s="5">
        <v>61.82</v>
      </c>
      <c r="N53" s="5">
        <v>19.66</v>
      </c>
      <c r="O53" s="5">
        <v>35.9</v>
      </c>
      <c r="P53" s="5">
        <v>58.11</v>
      </c>
      <c r="Q53" s="5">
        <v>5.99</v>
      </c>
      <c r="R53" s="23"/>
      <c r="S53" s="20">
        <v>985.66011381149303</v>
      </c>
      <c r="T53" s="15" t="str">
        <f t="shared" si="0"/>
        <v>https://weather.covercrop-data.org/daily?lat=38.9702033996582&amp;lon=-75.8479080200195&amp;start=2017-09-25&amp;end=2018-04-18&amp;gddbase=4&amp;gddmin=0&amp;stats=sum(gdd)&amp;output=html</v>
      </c>
    </row>
    <row r="54" spans="1:20" x14ac:dyDescent="0.25">
      <c r="A54" s="6">
        <v>39.015964508056598</v>
      </c>
      <c r="B54" s="3">
        <v>-76.9427490234375</v>
      </c>
      <c r="C54" s="2" t="s">
        <v>5</v>
      </c>
      <c r="D54" s="4">
        <v>43015</v>
      </c>
      <c r="E54" s="4">
        <v>43223</v>
      </c>
      <c r="F54" s="4" t="s">
        <v>139</v>
      </c>
      <c r="G54" s="2" t="s">
        <v>28</v>
      </c>
      <c r="H54" s="2">
        <v>1</v>
      </c>
      <c r="I54" s="22">
        <v>2.86</v>
      </c>
      <c r="J54" s="5">
        <v>12.83</v>
      </c>
      <c r="K54" s="5">
        <v>6.04</v>
      </c>
      <c r="L54" s="5">
        <v>29.58</v>
      </c>
      <c r="M54" s="5">
        <v>54.03</v>
      </c>
      <c r="N54" s="5">
        <v>24.24</v>
      </c>
      <c r="O54" s="5">
        <v>42.5</v>
      </c>
      <c r="P54" s="5">
        <v>51.34</v>
      </c>
      <c r="Q54" s="5">
        <v>6.16</v>
      </c>
      <c r="R54" s="23"/>
      <c r="S54" s="20">
        <v>887.48012065887497</v>
      </c>
      <c r="T54" s="15" t="str">
        <f t="shared" si="0"/>
        <v>https://weather.covercrop-data.org/daily?lat=39.0159645080566&amp;lon=-76.9427490234375&amp;start=2017-10-07&amp;end=2018-05-03&amp;gddbase=4&amp;gddmin=0&amp;stats=sum(gdd)&amp;output=html</v>
      </c>
    </row>
    <row r="55" spans="1:20" x14ac:dyDescent="0.25">
      <c r="A55" s="6">
        <v>39.015964508056598</v>
      </c>
      <c r="B55" s="3">
        <v>-76.9427490234375</v>
      </c>
      <c r="C55" s="2" t="s">
        <v>5</v>
      </c>
      <c r="D55" s="4">
        <v>43015</v>
      </c>
      <c r="E55" s="4">
        <v>43223</v>
      </c>
      <c r="F55" s="4" t="s">
        <v>139</v>
      </c>
      <c r="G55" s="2" t="s">
        <v>28</v>
      </c>
      <c r="H55" s="2">
        <v>2</v>
      </c>
      <c r="I55" s="22">
        <v>2.54</v>
      </c>
      <c r="J55" s="5">
        <v>8.48</v>
      </c>
      <c r="K55" s="5">
        <v>5.82</v>
      </c>
      <c r="L55" s="5">
        <v>41.44</v>
      </c>
      <c r="M55" s="5">
        <v>70.430000000000007</v>
      </c>
      <c r="N55" s="5">
        <v>12.73</v>
      </c>
      <c r="O55" s="5">
        <v>25.22</v>
      </c>
      <c r="P55" s="5">
        <v>66.81</v>
      </c>
      <c r="Q55" s="5">
        <v>7.97</v>
      </c>
      <c r="R55" s="23"/>
      <c r="S55" s="20">
        <v>887.48012065887497</v>
      </c>
      <c r="T55" s="15" t="str">
        <f t="shared" si="0"/>
        <v>https://weather.covercrop-data.org/daily?lat=39.0159645080566&amp;lon=-76.9427490234375&amp;start=2017-10-07&amp;end=2018-05-03&amp;gddbase=4&amp;gddmin=0&amp;stats=sum(gdd)&amp;output=html</v>
      </c>
    </row>
    <row r="56" spans="1:20" x14ac:dyDescent="0.25">
      <c r="A56" s="6">
        <v>39.0161323547363</v>
      </c>
      <c r="B56" s="3">
        <v>-76.943031311035099</v>
      </c>
      <c r="C56" s="2" t="s">
        <v>5</v>
      </c>
      <c r="D56" s="4">
        <v>43015</v>
      </c>
      <c r="E56" s="4">
        <v>43223</v>
      </c>
      <c r="F56" s="4" t="s">
        <v>139</v>
      </c>
      <c r="G56" s="2" t="s">
        <v>29</v>
      </c>
      <c r="H56" s="2">
        <v>1</v>
      </c>
      <c r="I56" s="22">
        <v>2.38</v>
      </c>
      <c r="J56" s="5">
        <v>8.4600000000000009</v>
      </c>
      <c r="K56" s="5">
        <v>6.67</v>
      </c>
      <c r="L56" s="5">
        <v>39.26</v>
      </c>
      <c r="M56" s="5">
        <v>68.5</v>
      </c>
      <c r="N56" s="5">
        <v>13.99</v>
      </c>
      <c r="O56" s="5">
        <v>26.6</v>
      </c>
      <c r="P56" s="5">
        <v>66.069999999999993</v>
      </c>
      <c r="Q56" s="5">
        <v>7.33</v>
      </c>
      <c r="R56" s="23"/>
      <c r="S56" s="20">
        <v>887.48012065887497</v>
      </c>
      <c r="T56" s="15" t="str">
        <f t="shared" si="0"/>
        <v>https://weather.covercrop-data.org/daily?lat=39.0161323547363&amp;lon=-76.9430313110351&amp;start=2017-10-07&amp;end=2018-05-03&amp;gddbase=4&amp;gddmin=0&amp;stats=sum(gdd)&amp;output=html</v>
      </c>
    </row>
    <row r="57" spans="1:20" x14ac:dyDescent="0.25">
      <c r="A57" s="6">
        <v>39.0161323547363</v>
      </c>
      <c r="B57" s="3">
        <v>-76.943031311035099</v>
      </c>
      <c r="C57" s="2" t="s">
        <v>5</v>
      </c>
      <c r="D57" s="4">
        <v>43015</v>
      </c>
      <c r="E57" s="4">
        <v>43223</v>
      </c>
      <c r="F57" s="4" t="s">
        <v>139</v>
      </c>
      <c r="G57" s="2" t="s">
        <v>29</v>
      </c>
      <c r="H57" s="2">
        <v>2</v>
      </c>
      <c r="I57" s="22">
        <v>2.7</v>
      </c>
      <c r="J57" s="5">
        <v>17.350000000000001</v>
      </c>
      <c r="K57" s="5">
        <v>6.7</v>
      </c>
      <c r="L57" s="5">
        <v>24.76</v>
      </c>
      <c r="M57" s="5">
        <v>45.97</v>
      </c>
      <c r="N57" s="5">
        <v>27.28</v>
      </c>
      <c r="O57" s="5">
        <v>50.73</v>
      </c>
      <c r="P57" s="5">
        <v>44.12</v>
      </c>
      <c r="Q57" s="5">
        <v>5.16</v>
      </c>
      <c r="R57" s="23"/>
      <c r="S57" s="20">
        <v>887.48012065887497</v>
      </c>
      <c r="T57" s="15" t="str">
        <f t="shared" si="0"/>
        <v>https://weather.covercrop-data.org/daily?lat=39.0161323547363&amp;lon=-76.9430313110351&amp;start=2017-10-07&amp;end=2018-05-03&amp;gddbase=4&amp;gddmin=0&amp;stats=sum(gdd)&amp;output=html</v>
      </c>
    </row>
    <row r="58" spans="1:20" x14ac:dyDescent="0.25">
      <c r="A58" s="6">
        <v>39.024837493896399</v>
      </c>
      <c r="B58" s="3">
        <v>-76.89892578125</v>
      </c>
      <c r="C58" s="2" t="s">
        <v>5</v>
      </c>
      <c r="D58" s="4">
        <v>43013</v>
      </c>
      <c r="E58" s="4">
        <v>43225</v>
      </c>
      <c r="F58" s="4" t="s">
        <v>139</v>
      </c>
      <c r="G58" s="2" t="s">
        <v>8</v>
      </c>
      <c r="H58" s="2">
        <v>1</v>
      </c>
      <c r="I58" s="22">
        <v>2.69</v>
      </c>
      <c r="J58" s="5">
        <v>9.01</v>
      </c>
      <c r="K58" s="5">
        <v>4.82</v>
      </c>
      <c r="L58" s="5">
        <v>40.020000000000003</v>
      </c>
      <c r="M58" s="5">
        <v>74.86</v>
      </c>
      <c r="N58" s="5">
        <v>8.6199999999999992</v>
      </c>
      <c r="O58" s="5">
        <v>21.35</v>
      </c>
      <c r="P58" s="5">
        <v>70.489999999999995</v>
      </c>
      <c r="Q58" s="5">
        <v>8.16</v>
      </c>
      <c r="R58" s="23"/>
      <c r="S58" s="20">
        <v>958.48511791229203</v>
      </c>
      <c r="T58" s="15" t="str">
        <f t="shared" si="0"/>
        <v>https://weather.covercrop-data.org/daily?lat=39.0248374938964&amp;lon=-76.89892578125&amp;start=2017-10-05&amp;end=2018-05-05&amp;gddbase=4&amp;gddmin=0&amp;stats=sum(gdd)&amp;output=html</v>
      </c>
    </row>
    <row r="59" spans="1:20" x14ac:dyDescent="0.25">
      <c r="A59" s="6">
        <v>39.024837493896399</v>
      </c>
      <c r="B59" s="3">
        <v>-76.89892578125</v>
      </c>
      <c r="C59" s="2" t="s">
        <v>5</v>
      </c>
      <c r="D59" s="4">
        <v>43013</v>
      </c>
      <c r="E59" s="4">
        <v>43225</v>
      </c>
      <c r="F59" s="4" t="s">
        <v>139</v>
      </c>
      <c r="G59" s="2" t="s">
        <v>8</v>
      </c>
      <c r="H59" s="2">
        <v>2</v>
      </c>
      <c r="I59" s="22">
        <v>2.5499999999999998</v>
      </c>
      <c r="J59" s="5">
        <v>21.97</v>
      </c>
      <c r="K59" s="5">
        <v>7.7</v>
      </c>
      <c r="L59" s="5">
        <v>37.21</v>
      </c>
      <c r="M59" s="5">
        <v>52.04</v>
      </c>
      <c r="N59" s="5">
        <v>15.74</v>
      </c>
      <c r="O59" s="5">
        <v>43.62</v>
      </c>
      <c r="P59" s="5">
        <v>47.95</v>
      </c>
      <c r="Q59" s="5">
        <v>8.43</v>
      </c>
      <c r="R59" s="23"/>
      <c r="S59" s="20">
        <v>958.48511791229203</v>
      </c>
      <c r="T59" s="15" t="str">
        <f t="shared" si="0"/>
        <v>https://weather.covercrop-data.org/daily?lat=39.0248374938964&amp;lon=-76.89892578125&amp;start=2017-10-05&amp;end=2018-05-05&amp;gddbase=4&amp;gddmin=0&amp;stats=sum(gdd)&amp;output=html</v>
      </c>
    </row>
    <row r="60" spans="1:20" x14ac:dyDescent="0.25">
      <c r="A60" s="6">
        <v>39.123347000000003</v>
      </c>
      <c r="B60" s="3">
        <v>-90.995041000000001</v>
      </c>
      <c r="C60" s="2" t="s">
        <v>5</v>
      </c>
      <c r="D60" s="4">
        <v>44504</v>
      </c>
      <c r="E60" s="4">
        <v>44661</v>
      </c>
      <c r="F60" s="4" t="s">
        <v>140</v>
      </c>
      <c r="G60" s="2" t="s">
        <v>12</v>
      </c>
      <c r="H60" s="2">
        <v>1</v>
      </c>
      <c r="I60" s="22">
        <v>3.2189256999999998</v>
      </c>
      <c r="J60" s="5">
        <v>27.283760000000001</v>
      </c>
      <c r="K60" s="5">
        <v>13.670566000000001</v>
      </c>
      <c r="L60" s="5">
        <v>29.252669999999998</v>
      </c>
      <c r="M60" s="5">
        <v>44.583030000000001</v>
      </c>
      <c r="N60" s="5">
        <v>14.36453</v>
      </c>
      <c r="O60" s="5">
        <v>59.207447000000002</v>
      </c>
      <c r="P60" s="5">
        <v>36.335270000000001</v>
      </c>
      <c r="Q60" s="5">
        <v>4.4572797</v>
      </c>
      <c r="R60" s="23" t="s">
        <v>152</v>
      </c>
      <c r="S60" s="20">
        <v>425.39011907577498</v>
      </c>
      <c r="T60" s="15" t="str">
        <f t="shared" si="0"/>
        <v>https://weather.covercrop-data.org/daily?lat=39.123347&amp;lon=-90.995041&amp;start=2021-11-04&amp;end=2022-04-10&amp;gddbase=4&amp;gddmin=0&amp;stats=sum(gdd)&amp;output=html</v>
      </c>
    </row>
    <row r="61" spans="1:20" x14ac:dyDescent="0.25">
      <c r="A61" s="6">
        <v>39.123347000000003</v>
      </c>
      <c r="B61" s="3">
        <v>-90.995041000000001</v>
      </c>
      <c r="C61" s="2" t="s">
        <v>5</v>
      </c>
      <c r="D61" s="4">
        <v>44504</v>
      </c>
      <c r="E61" s="4">
        <v>44661</v>
      </c>
      <c r="F61" s="4" t="s">
        <v>140</v>
      </c>
      <c r="G61" s="2" t="s">
        <v>12</v>
      </c>
      <c r="H61" s="2">
        <v>2</v>
      </c>
      <c r="I61" s="22">
        <v>3.150623</v>
      </c>
      <c r="J61" s="5">
        <v>27.629152000000001</v>
      </c>
      <c r="K61" s="5">
        <v>13.057036999999999</v>
      </c>
      <c r="L61" s="5">
        <v>27.231877999999998</v>
      </c>
      <c r="M61" s="5">
        <v>42.581690000000002</v>
      </c>
      <c r="N61" s="5">
        <v>16.562214000000001</v>
      </c>
      <c r="O61" s="5">
        <v>61.589770000000001</v>
      </c>
      <c r="P61" s="5">
        <v>34.296639999999996</v>
      </c>
      <c r="Q61" s="5">
        <v>4.1135910000000004</v>
      </c>
      <c r="R61" s="23" t="s">
        <v>152</v>
      </c>
      <c r="S61" s="20">
        <v>425.39011907577498</v>
      </c>
      <c r="T61" s="15" t="str">
        <f t="shared" si="0"/>
        <v>https://weather.covercrop-data.org/daily?lat=39.123347&amp;lon=-90.995041&amp;start=2021-11-04&amp;end=2022-04-10&amp;gddbase=4&amp;gddmin=0&amp;stats=sum(gdd)&amp;output=html</v>
      </c>
    </row>
    <row r="62" spans="1:20" x14ac:dyDescent="0.25">
      <c r="A62" s="6">
        <v>39.210990905761697</v>
      </c>
      <c r="B62" s="3">
        <v>-75.834922790527301</v>
      </c>
      <c r="C62" s="2" t="s">
        <v>5</v>
      </c>
      <c r="D62" s="4">
        <v>43692</v>
      </c>
      <c r="E62" s="4">
        <v>43925</v>
      </c>
      <c r="F62" s="4" t="s">
        <v>139</v>
      </c>
      <c r="G62" s="2" t="s">
        <v>18</v>
      </c>
      <c r="H62" s="2">
        <v>1</v>
      </c>
      <c r="I62" s="22">
        <v>2.87</v>
      </c>
      <c r="J62" s="5">
        <v>15.521000000000001</v>
      </c>
      <c r="K62" s="5">
        <v>5.88</v>
      </c>
      <c r="L62" s="5">
        <v>25.372</v>
      </c>
      <c r="M62" s="5">
        <v>44.308</v>
      </c>
      <c r="N62" s="5">
        <v>34.520000000000003</v>
      </c>
      <c r="O62" s="5">
        <v>54.43</v>
      </c>
      <c r="P62" s="5">
        <v>40.119999999999997</v>
      </c>
      <c r="Q62" s="5">
        <v>5.46</v>
      </c>
      <c r="R62" s="23"/>
      <c r="S62" s="20">
        <v>1764.6501755714401</v>
      </c>
      <c r="T62" s="15" t="str">
        <f t="shared" si="0"/>
        <v>https://weather.covercrop-data.org/daily?lat=39.2109909057617&amp;lon=-75.8349227905273&amp;start=2019-08-15&amp;end=2020-04-04&amp;gddbase=4&amp;gddmin=0&amp;stats=sum(gdd)&amp;output=html</v>
      </c>
    </row>
    <row r="63" spans="1:20" x14ac:dyDescent="0.25">
      <c r="A63" s="6">
        <v>39.210990905761697</v>
      </c>
      <c r="B63" s="3">
        <v>-75.834922790527301</v>
      </c>
      <c r="C63" s="2" t="s">
        <v>5</v>
      </c>
      <c r="D63" s="4">
        <v>43692</v>
      </c>
      <c r="E63" s="4">
        <v>43925</v>
      </c>
      <c r="F63" s="4" t="s">
        <v>139</v>
      </c>
      <c r="G63" s="2" t="s">
        <v>18</v>
      </c>
      <c r="H63" s="2">
        <v>2</v>
      </c>
      <c r="I63" s="22">
        <v>2.9649999999999999</v>
      </c>
      <c r="J63" s="5">
        <v>16.11</v>
      </c>
      <c r="K63" s="5">
        <v>5.6660000000000004</v>
      </c>
      <c r="L63" s="5">
        <v>23.821000000000002</v>
      </c>
      <c r="M63" s="5">
        <v>42.017000000000003</v>
      </c>
      <c r="N63" s="5">
        <v>36.18</v>
      </c>
      <c r="O63" s="5">
        <v>56.81</v>
      </c>
      <c r="P63" s="5">
        <v>38.049999999999997</v>
      </c>
      <c r="Q63" s="5">
        <v>5.14</v>
      </c>
      <c r="R63" s="23"/>
      <c r="S63" s="20">
        <v>1764.6501755714401</v>
      </c>
      <c r="T63" s="15" t="str">
        <f t="shared" si="0"/>
        <v>https://weather.covercrop-data.org/daily?lat=39.2109909057617&amp;lon=-75.8349227905273&amp;start=2019-08-15&amp;end=2020-04-04&amp;gddbase=4&amp;gddmin=0&amp;stats=sum(gdd)&amp;output=html</v>
      </c>
    </row>
    <row r="64" spans="1:20" x14ac:dyDescent="0.25">
      <c r="A64" s="6">
        <v>39.2120361328125</v>
      </c>
      <c r="B64" s="3">
        <v>-75.838424682617102</v>
      </c>
      <c r="C64" s="2" t="s">
        <v>5</v>
      </c>
      <c r="D64" s="4">
        <v>43692</v>
      </c>
      <c r="E64" s="4">
        <v>43925</v>
      </c>
      <c r="F64" s="4" t="s">
        <v>139</v>
      </c>
      <c r="G64" s="2" t="s">
        <v>16</v>
      </c>
      <c r="H64" s="2">
        <v>1</v>
      </c>
      <c r="I64" s="22">
        <v>2.863</v>
      </c>
      <c r="J64" s="5">
        <v>18.835000000000001</v>
      </c>
      <c r="K64" s="5">
        <v>7.9790000000000001</v>
      </c>
      <c r="L64" s="5">
        <v>22.948</v>
      </c>
      <c r="M64" s="5">
        <v>42.773000000000003</v>
      </c>
      <c r="N64" s="5">
        <v>30.54</v>
      </c>
      <c r="O64" s="5">
        <v>54.98</v>
      </c>
      <c r="P64" s="5">
        <v>39.840000000000003</v>
      </c>
      <c r="Q64" s="5">
        <v>5.17</v>
      </c>
      <c r="R64" s="23"/>
      <c r="S64" s="20">
        <v>1764.6501755714401</v>
      </c>
      <c r="T64" s="15" t="str">
        <f t="shared" si="0"/>
        <v>https://weather.covercrop-data.org/daily?lat=39.2120361328125&amp;lon=-75.8384246826171&amp;start=2019-08-15&amp;end=2020-04-04&amp;gddbase=4&amp;gddmin=0&amp;stats=sum(gdd)&amp;output=html</v>
      </c>
    </row>
    <row r="65" spans="1:20" x14ac:dyDescent="0.25">
      <c r="A65" s="6">
        <v>39.2120361328125</v>
      </c>
      <c r="B65" s="3">
        <v>-75.838424682617102</v>
      </c>
      <c r="C65" s="2" t="s">
        <v>5</v>
      </c>
      <c r="D65" s="4">
        <v>43692</v>
      </c>
      <c r="E65" s="4">
        <v>43925</v>
      </c>
      <c r="F65" s="4" t="s">
        <v>139</v>
      </c>
      <c r="G65" s="2" t="s">
        <v>16</v>
      </c>
      <c r="H65" s="2">
        <v>2</v>
      </c>
      <c r="I65" s="22">
        <v>2.859</v>
      </c>
      <c r="J65" s="5">
        <v>15.238</v>
      </c>
      <c r="K65" s="5">
        <v>5.4059999999999997</v>
      </c>
      <c r="L65" s="5">
        <v>24.506</v>
      </c>
      <c r="M65" s="5">
        <v>44.84</v>
      </c>
      <c r="N65" s="5">
        <v>34.799999999999997</v>
      </c>
      <c r="O65" s="5">
        <v>54.12</v>
      </c>
      <c r="P65" s="5">
        <v>41.23</v>
      </c>
      <c r="Q65" s="5">
        <v>4.6500000000000004</v>
      </c>
      <c r="R65" s="23"/>
      <c r="S65" s="20">
        <v>1764.6501755714401</v>
      </c>
      <c r="T65" s="15" t="str">
        <f t="shared" si="0"/>
        <v>https://weather.covercrop-data.org/daily?lat=39.2120361328125&amp;lon=-75.8384246826171&amp;start=2019-08-15&amp;end=2020-04-04&amp;gddbase=4&amp;gddmin=0&amp;stats=sum(gdd)&amp;output=html</v>
      </c>
    </row>
    <row r="66" spans="1:20" x14ac:dyDescent="0.25">
      <c r="A66" s="6">
        <v>39.332768999999999</v>
      </c>
      <c r="B66" s="3">
        <v>-90.661000999999999</v>
      </c>
      <c r="C66" s="2" t="s">
        <v>5</v>
      </c>
      <c r="D66" s="4">
        <v>44492</v>
      </c>
      <c r="E66" s="4">
        <v>44700</v>
      </c>
      <c r="F66" s="4" t="s">
        <v>140</v>
      </c>
      <c r="G66" s="2" t="s">
        <v>50</v>
      </c>
      <c r="H66" s="2">
        <v>1</v>
      </c>
      <c r="I66" s="22">
        <v>2.1866783999999999</v>
      </c>
      <c r="J66" s="5">
        <v>13.585993999999999</v>
      </c>
      <c r="K66" s="5">
        <v>8.4669895000000004</v>
      </c>
      <c r="L66" s="5">
        <v>37.430680000000002</v>
      </c>
      <c r="M66" s="5">
        <v>68.220320000000001</v>
      </c>
      <c r="N66" s="5">
        <v>12.315439</v>
      </c>
      <c r="O66" s="5">
        <v>31.975922000000001</v>
      </c>
      <c r="P66" s="5">
        <v>63.124133999999998</v>
      </c>
      <c r="Q66" s="5">
        <v>4.8999449999999998</v>
      </c>
      <c r="R66" s="23" t="s">
        <v>150</v>
      </c>
      <c r="S66" s="20">
        <v>950.20510768890404</v>
      </c>
      <c r="T66" s="15" t="str">
        <f t="shared" si="0"/>
        <v>https://weather.covercrop-data.org/daily?lat=39.332769&amp;lon=-90.661001&amp;start=2021-10-23&amp;end=2022-05-19&amp;gddbase=4&amp;gddmin=0&amp;stats=sum(gdd)&amp;output=html</v>
      </c>
    </row>
    <row r="67" spans="1:20" x14ac:dyDescent="0.25">
      <c r="A67" s="6">
        <v>39.332768999999999</v>
      </c>
      <c r="B67" s="3">
        <v>-90.661000999999999</v>
      </c>
      <c r="C67" s="2" t="s">
        <v>5</v>
      </c>
      <c r="D67" s="4">
        <v>44492</v>
      </c>
      <c r="E67" s="4">
        <v>44700</v>
      </c>
      <c r="F67" s="4" t="s">
        <v>140</v>
      </c>
      <c r="G67" s="2" t="s">
        <v>50</v>
      </c>
      <c r="H67" s="2">
        <v>2</v>
      </c>
      <c r="I67" s="22">
        <v>2.1380447999999999</v>
      </c>
      <c r="J67" s="5">
        <v>9.6923840000000006</v>
      </c>
      <c r="K67" s="5">
        <v>9.1368770000000001</v>
      </c>
      <c r="L67" s="5">
        <v>39.912570000000002</v>
      </c>
      <c r="M67" s="5">
        <v>71.828995000000006</v>
      </c>
      <c r="N67" s="5">
        <v>12.2317295</v>
      </c>
      <c r="O67" s="5">
        <v>27.735990000000001</v>
      </c>
      <c r="P67" s="5">
        <v>67.030370000000005</v>
      </c>
      <c r="Q67" s="5">
        <v>5.2336383</v>
      </c>
      <c r="R67" s="23" t="s">
        <v>150</v>
      </c>
      <c r="S67" s="20">
        <v>950.20510768890404</v>
      </c>
      <c r="T67" s="15" t="str">
        <f t="shared" ref="T67:T130" si="1">"https://weather.covercrop-data.org/daily?lat="&amp;A67&amp;"&amp;lon="&amp;B67&amp;"&amp;start="&amp;TEXT(D67, "yyyy-mm-dd") &amp; "&amp;end="&amp;TEXT(E67, "yyyy-mm-dd")&amp;"&amp;gddbase=4&amp;gddmin=0&amp;stats=sum(gdd)&amp;output=html"</f>
        <v>https://weather.covercrop-data.org/daily?lat=39.332769&amp;lon=-90.661001&amp;start=2021-10-23&amp;end=2022-05-19&amp;gddbase=4&amp;gddmin=0&amp;stats=sum(gdd)&amp;output=html</v>
      </c>
    </row>
    <row r="68" spans="1:20" x14ac:dyDescent="0.25">
      <c r="A68" s="6">
        <v>39.335541283047</v>
      </c>
      <c r="B68" s="3">
        <v>-96.437214370419994</v>
      </c>
      <c r="C68" s="2" t="s">
        <v>5</v>
      </c>
      <c r="D68" s="4">
        <v>44491</v>
      </c>
      <c r="E68" s="4">
        <v>44691</v>
      </c>
      <c r="F68" s="4" t="s">
        <v>141</v>
      </c>
      <c r="G68" s="2" t="s">
        <v>38</v>
      </c>
      <c r="H68" s="2">
        <v>1</v>
      </c>
      <c r="I68" s="22">
        <v>2.6370844999999998</v>
      </c>
      <c r="J68" s="5">
        <v>7.7231274000000001</v>
      </c>
      <c r="K68" s="5">
        <v>8.0629460000000002</v>
      </c>
      <c r="L68" s="5">
        <v>36.085090000000001</v>
      </c>
      <c r="M68" s="5">
        <v>60.431244</v>
      </c>
      <c r="N68" s="5">
        <v>25.375786000000002</v>
      </c>
      <c r="O68" s="5">
        <v>40.561016000000002</v>
      </c>
      <c r="P68" s="5">
        <v>53.980983999999999</v>
      </c>
      <c r="Q68" s="5">
        <v>5.4580010000000003</v>
      </c>
      <c r="R68" s="23" t="s">
        <v>150</v>
      </c>
      <c r="S68" s="20">
        <v>889.60013961792004</v>
      </c>
      <c r="T68" s="15" t="str">
        <f t="shared" si="1"/>
        <v>https://weather.covercrop-data.org/daily?lat=39.335541283047&amp;lon=-96.43721437042&amp;start=2021-10-22&amp;end=2022-05-10&amp;gddbase=4&amp;gddmin=0&amp;stats=sum(gdd)&amp;output=html</v>
      </c>
    </row>
    <row r="69" spans="1:20" x14ac:dyDescent="0.25">
      <c r="A69" s="6">
        <v>39.335541283047</v>
      </c>
      <c r="B69" s="3">
        <v>-96.437214370419994</v>
      </c>
      <c r="C69" s="2" t="s">
        <v>5</v>
      </c>
      <c r="D69" s="4">
        <v>44491</v>
      </c>
      <c r="E69" s="4">
        <v>44691</v>
      </c>
      <c r="F69" s="4" t="s">
        <v>141</v>
      </c>
      <c r="G69" s="2" t="s">
        <v>38</v>
      </c>
      <c r="H69" s="2">
        <v>2</v>
      </c>
      <c r="I69" s="22">
        <v>2.8391972000000001</v>
      </c>
      <c r="J69" s="5">
        <v>9.9840129999999991</v>
      </c>
      <c r="K69" s="5">
        <v>8.7844890000000007</v>
      </c>
      <c r="L69" s="5">
        <v>32.539870000000001</v>
      </c>
      <c r="M69" s="5">
        <v>54.953249999999997</v>
      </c>
      <c r="N69" s="5">
        <v>27.285778000000001</v>
      </c>
      <c r="O69" s="5">
        <v>46.488216000000001</v>
      </c>
      <c r="P69" s="5">
        <v>49.106655000000003</v>
      </c>
      <c r="Q69" s="5">
        <v>4.4051274999999999</v>
      </c>
      <c r="R69" s="23" t="s">
        <v>150</v>
      </c>
      <c r="S69" s="20">
        <v>889.60013961792004</v>
      </c>
      <c r="T69" s="15" t="str">
        <f t="shared" si="1"/>
        <v>https://weather.covercrop-data.org/daily?lat=39.335541283047&amp;lon=-96.43721437042&amp;start=2021-10-22&amp;end=2022-05-10&amp;gddbase=4&amp;gddmin=0&amp;stats=sum(gdd)&amp;output=html</v>
      </c>
    </row>
    <row r="70" spans="1:20" x14ac:dyDescent="0.25">
      <c r="A70" s="6">
        <v>39.485163</v>
      </c>
      <c r="B70" s="3">
        <v>-83.420265999999998</v>
      </c>
      <c r="C70" s="2" t="s">
        <v>5</v>
      </c>
      <c r="D70" s="4">
        <v>44484</v>
      </c>
      <c r="E70" s="4">
        <v>44673</v>
      </c>
      <c r="F70" s="4" t="s">
        <v>142</v>
      </c>
      <c r="G70" s="2" t="s">
        <v>31</v>
      </c>
      <c r="H70" s="2">
        <v>1</v>
      </c>
      <c r="I70" s="22">
        <v>3.431311</v>
      </c>
      <c r="J70" s="5">
        <v>15.672668</v>
      </c>
      <c r="K70" s="5">
        <v>9.995844</v>
      </c>
      <c r="L70" s="5">
        <v>27.982841000000001</v>
      </c>
      <c r="M70" s="5">
        <v>48.834915000000002</v>
      </c>
      <c r="N70" s="5">
        <v>25.483706000000002</v>
      </c>
      <c r="O70" s="5">
        <v>53.445304999999998</v>
      </c>
      <c r="P70" s="5">
        <v>43.512996999999999</v>
      </c>
      <c r="Q70" s="5">
        <v>3.0416957999999998</v>
      </c>
      <c r="R70" s="23" t="s">
        <v>152</v>
      </c>
      <c r="S70" s="20">
        <v>584.93506479263306</v>
      </c>
      <c r="T70" s="15" t="str">
        <f t="shared" si="1"/>
        <v>https://weather.covercrop-data.org/daily?lat=39.485163&amp;lon=-83.420266&amp;start=2021-10-15&amp;end=2022-04-22&amp;gddbase=4&amp;gddmin=0&amp;stats=sum(gdd)&amp;output=html</v>
      </c>
    </row>
    <row r="71" spans="1:20" x14ac:dyDescent="0.25">
      <c r="A71" s="6">
        <v>39.485163</v>
      </c>
      <c r="B71" s="3">
        <v>-83.420265999999998</v>
      </c>
      <c r="C71" s="2" t="s">
        <v>5</v>
      </c>
      <c r="D71" s="4">
        <v>44484</v>
      </c>
      <c r="E71" s="4">
        <v>44673</v>
      </c>
      <c r="F71" s="4" t="s">
        <v>142</v>
      </c>
      <c r="G71" s="2" t="s">
        <v>31</v>
      </c>
      <c r="H71" s="2">
        <v>2</v>
      </c>
      <c r="I71" s="22">
        <v>3.2047284</v>
      </c>
      <c r="J71" s="5">
        <v>12.541229</v>
      </c>
      <c r="K71" s="5">
        <v>8.6097354999999993</v>
      </c>
      <c r="L71" s="5">
        <v>26.554760000000002</v>
      </c>
      <c r="M71" s="5">
        <v>48.262630000000001</v>
      </c>
      <c r="N71" s="5">
        <v>30.760061</v>
      </c>
      <c r="O71" s="5">
        <v>53.977024</v>
      </c>
      <c r="P71" s="5">
        <v>43.090282000000002</v>
      </c>
      <c r="Q71" s="5">
        <v>2.9326916000000001</v>
      </c>
      <c r="R71" s="23" t="s">
        <v>152</v>
      </c>
      <c r="S71" s="20">
        <v>584.93506479263306</v>
      </c>
      <c r="T71" s="15" t="str">
        <f t="shared" si="1"/>
        <v>https://weather.covercrop-data.org/daily?lat=39.485163&amp;lon=-83.420266&amp;start=2021-10-15&amp;end=2022-04-22&amp;gddbase=4&amp;gddmin=0&amp;stats=sum(gdd)&amp;output=html</v>
      </c>
    </row>
    <row r="72" spans="1:20" x14ac:dyDescent="0.25">
      <c r="A72" s="6">
        <v>39.771087999999999</v>
      </c>
      <c r="B72" s="3">
        <v>-83.676165999999995</v>
      </c>
      <c r="C72" s="2" t="s">
        <v>5</v>
      </c>
      <c r="D72" s="4">
        <v>44522</v>
      </c>
      <c r="E72" s="4">
        <v>44693</v>
      </c>
      <c r="F72" s="4" t="s">
        <v>142</v>
      </c>
      <c r="G72" s="2" t="s">
        <v>6</v>
      </c>
      <c r="H72" s="2">
        <v>1</v>
      </c>
      <c r="I72" s="22">
        <v>2.1496556</v>
      </c>
      <c r="J72" s="5">
        <v>8.6646710000000002</v>
      </c>
      <c r="K72" s="5">
        <v>11.351485</v>
      </c>
      <c r="L72" s="5">
        <v>40.488930000000003</v>
      </c>
      <c r="M72" s="5">
        <v>67.42653</v>
      </c>
      <c r="N72" s="5">
        <v>15.127516999999999</v>
      </c>
      <c r="O72" s="5">
        <v>31.62988</v>
      </c>
      <c r="P72" s="5">
        <v>64.892219999999995</v>
      </c>
      <c r="Q72" s="5">
        <v>3.4779040000000001</v>
      </c>
      <c r="R72" s="23" t="s">
        <v>150</v>
      </c>
      <c r="S72" s="20">
        <v>541.46501827240002</v>
      </c>
      <c r="T72" s="15" t="str">
        <f t="shared" si="1"/>
        <v>https://weather.covercrop-data.org/daily?lat=39.771088&amp;lon=-83.676166&amp;start=2021-11-22&amp;end=2022-05-12&amp;gddbase=4&amp;gddmin=0&amp;stats=sum(gdd)&amp;output=html</v>
      </c>
    </row>
    <row r="73" spans="1:20" x14ac:dyDescent="0.25">
      <c r="A73" s="6">
        <v>39.771087999999999</v>
      </c>
      <c r="B73" s="3">
        <v>-83.676165999999995</v>
      </c>
      <c r="C73" s="2" t="s">
        <v>5</v>
      </c>
      <c r="D73" s="4">
        <v>44522</v>
      </c>
      <c r="E73" s="4">
        <v>44693</v>
      </c>
      <c r="F73" s="4" t="s">
        <v>142</v>
      </c>
      <c r="G73" s="2" t="s">
        <v>6</v>
      </c>
      <c r="H73" s="2">
        <v>2</v>
      </c>
      <c r="I73" s="22">
        <v>1.7662561000000001</v>
      </c>
      <c r="J73" s="5">
        <v>9.7264660000000003</v>
      </c>
      <c r="K73" s="5">
        <v>11.06639</v>
      </c>
      <c r="L73" s="5">
        <v>40.964756000000001</v>
      </c>
      <c r="M73" s="5">
        <v>67.191055000000006</v>
      </c>
      <c r="N73" s="5">
        <v>14.953206</v>
      </c>
      <c r="O73" s="5">
        <v>32.028263000000003</v>
      </c>
      <c r="P73" s="5">
        <v>64.298950000000005</v>
      </c>
      <c r="Q73" s="5">
        <v>3.6727859999999999</v>
      </c>
      <c r="R73" s="23" t="s">
        <v>150</v>
      </c>
      <c r="S73" s="20">
        <v>541.46501827240002</v>
      </c>
      <c r="T73" s="15" t="str">
        <f t="shared" si="1"/>
        <v>https://weather.covercrop-data.org/daily?lat=39.771088&amp;lon=-83.676166&amp;start=2021-11-22&amp;end=2022-05-12&amp;gddbase=4&amp;gddmin=0&amp;stats=sum(gdd)&amp;output=html</v>
      </c>
    </row>
    <row r="74" spans="1:20" x14ac:dyDescent="0.25">
      <c r="A74" s="6">
        <v>40.054597000000001</v>
      </c>
      <c r="B74" s="3">
        <v>-84.510808999999995</v>
      </c>
      <c r="C74" s="2" t="s">
        <v>5</v>
      </c>
      <c r="D74" s="4">
        <v>44501</v>
      </c>
      <c r="E74" s="4">
        <v>44699</v>
      </c>
      <c r="F74" s="4" t="s">
        <v>142</v>
      </c>
      <c r="G74" s="2" t="s">
        <v>44</v>
      </c>
      <c r="H74" s="2">
        <v>2</v>
      </c>
      <c r="I74" s="22">
        <v>2.8134332</v>
      </c>
      <c r="J74" s="5">
        <v>11.631935</v>
      </c>
      <c r="K74" s="5">
        <v>10.572215</v>
      </c>
      <c r="L74" s="5">
        <v>37.637360000000001</v>
      </c>
      <c r="M74" s="5">
        <v>61.656320000000001</v>
      </c>
      <c r="N74" s="5">
        <v>17.642040000000001</v>
      </c>
      <c r="O74" s="5">
        <v>38.579807000000002</v>
      </c>
      <c r="P74" s="5">
        <v>57.055317000000002</v>
      </c>
      <c r="Q74" s="5">
        <v>4.3648766999999999</v>
      </c>
      <c r="R74" s="23" t="s">
        <v>150</v>
      </c>
      <c r="S74" s="20">
        <v>662.68008089065597</v>
      </c>
      <c r="T74" s="15" t="str">
        <f t="shared" si="1"/>
        <v>https://weather.covercrop-data.org/daily?lat=40.054597&amp;lon=-84.510809&amp;start=2021-11-01&amp;end=2022-05-18&amp;gddbase=4&amp;gddmin=0&amp;stats=sum(gdd)&amp;output=html</v>
      </c>
    </row>
    <row r="75" spans="1:20" x14ac:dyDescent="0.25">
      <c r="A75" s="6">
        <v>40.230936999999997</v>
      </c>
      <c r="B75" s="3">
        <v>-86.478021999999996</v>
      </c>
      <c r="C75" s="2" t="s">
        <v>5</v>
      </c>
      <c r="D75" s="4">
        <v>44511</v>
      </c>
      <c r="E75" s="4">
        <v>44705</v>
      </c>
      <c r="F75" s="4" t="s">
        <v>143</v>
      </c>
      <c r="G75" s="2" t="s">
        <v>24</v>
      </c>
      <c r="H75" s="2">
        <v>1</v>
      </c>
      <c r="I75" s="22">
        <v>3.1080038999999999</v>
      </c>
      <c r="J75" s="5">
        <v>11.276956</v>
      </c>
      <c r="K75" s="5">
        <v>11.208975000000001</v>
      </c>
      <c r="L75" s="5">
        <v>37.457313999999997</v>
      </c>
      <c r="M75" s="5">
        <v>60.898829999999997</v>
      </c>
      <c r="N75" s="5">
        <v>17.770153000000001</v>
      </c>
      <c r="O75" s="5">
        <v>39.28783</v>
      </c>
      <c r="P75" s="5">
        <v>56.211129999999997</v>
      </c>
      <c r="Q75" s="5">
        <v>4.5010424000000002</v>
      </c>
      <c r="R75" s="23" t="s">
        <v>150</v>
      </c>
      <c r="S75" s="20">
        <v>743.56013965606701</v>
      </c>
      <c r="T75" s="15" t="str">
        <f t="shared" si="1"/>
        <v>https://weather.covercrop-data.org/daily?lat=40.230937&amp;lon=-86.478022&amp;start=2021-11-11&amp;end=2022-05-24&amp;gddbase=4&amp;gddmin=0&amp;stats=sum(gdd)&amp;output=html</v>
      </c>
    </row>
    <row r="76" spans="1:20" x14ac:dyDescent="0.25">
      <c r="A76" s="6">
        <v>40.230936999999997</v>
      </c>
      <c r="B76" s="3">
        <v>-86.478021999999996</v>
      </c>
      <c r="C76" s="2" t="s">
        <v>5</v>
      </c>
      <c r="D76" s="4">
        <v>44511</v>
      </c>
      <c r="E76" s="4">
        <v>44705</v>
      </c>
      <c r="F76" s="4" t="s">
        <v>143</v>
      </c>
      <c r="G76" s="2" t="s">
        <v>24</v>
      </c>
      <c r="H76" s="2">
        <v>2</v>
      </c>
      <c r="I76" s="22">
        <v>3.2015129999999998</v>
      </c>
      <c r="J76" s="5">
        <v>10.227475</v>
      </c>
      <c r="K76" s="5">
        <v>10.021725999999999</v>
      </c>
      <c r="L76" s="5">
        <v>36.610207000000003</v>
      </c>
      <c r="M76" s="5">
        <v>61.733837000000001</v>
      </c>
      <c r="N76" s="5">
        <v>19.136818000000002</v>
      </c>
      <c r="O76" s="5">
        <v>38.640971999999998</v>
      </c>
      <c r="P76" s="5">
        <v>57.496276999999999</v>
      </c>
      <c r="Q76" s="5">
        <v>3.8627514999999999</v>
      </c>
      <c r="R76" s="23" t="s">
        <v>150</v>
      </c>
      <c r="S76" s="20">
        <v>743.56013965606701</v>
      </c>
      <c r="T76" s="15" t="str">
        <f t="shared" si="1"/>
        <v>https://weather.covercrop-data.org/daily?lat=40.230937&amp;lon=-86.478022&amp;start=2021-11-11&amp;end=2022-05-24&amp;gddbase=4&amp;gddmin=0&amp;stats=sum(gdd)&amp;output=html</v>
      </c>
    </row>
    <row r="77" spans="1:20" x14ac:dyDescent="0.25">
      <c r="A77" s="6">
        <v>40.243897412069003</v>
      </c>
      <c r="B77" s="3">
        <v>-94.031547150752999</v>
      </c>
      <c r="C77" s="2" t="s">
        <v>5</v>
      </c>
      <c r="D77" s="4">
        <v>44474</v>
      </c>
      <c r="E77" s="4">
        <v>44678</v>
      </c>
      <c r="F77" s="4" t="s">
        <v>140</v>
      </c>
      <c r="G77" s="2" t="s">
        <v>13</v>
      </c>
      <c r="H77" s="2">
        <v>1</v>
      </c>
      <c r="I77" s="22">
        <v>3.4341170000000001</v>
      </c>
      <c r="J77" s="5">
        <v>10.757975</v>
      </c>
      <c r="K77" s="5">
        <v>11.331807</v>
      </c>
      <c r="L77" s="5">
        <v>32.988840000000003</v>
      </c>
      <c r="M77" s="5">
        <v>53.289642000000001</v>
      </c>
      <c r="N77" s="5">
        <v>24.916734999999999</v>
      </c>
      <c r="O77" s="5">
        <v>48.242798000000001</v>
      </c>
      <c r="P77" s="5">
        <v>48.065094000000002</v>
      </c>
      <c r="Q77" s="5">
        <v>3.6921072000000001</v>
      </c>
      <c r="R77" s="23" t="s">
        <v>157</v>
      </c>
      <c r="S77" s="20">
        <v>736.72018051147495</v>
      </c>
      <c r="T77" s="15" t="str">
        <f t="shared" si="1"/>
        <v>https://weather.covercrop-data.org/daily?lat=40.243897412069&amp;lon=-94.031547150753&amp;start=2021-10-05&amp;end=2022-04-27&amp;gddbase=4&amp;gddmin=0&amp;stats=sum(gdd)&amp;output=html</v>
      </c>
    </row>
    <row r="78" spans="1:20" x14ac:dyDescent="0.25">
      <c r="A78" s="6">
        <v>40.243897412069003</v>
      </c>
      <c r="B78" s="3">
        <v>-94.031547150752999</v>
      </c>
      <c r="C78" s="2" t="s">
        <v>5</v>
      </c>
      <c r="D78" s="4">
        <v>44474</v>
      </c>
      <c r="E78" s="4">
        <v>44678</v>
      </c>
      <c r="F78" s="4" t="s">
        <v>140</v>
      </c>
      <c r="G78" s="2" t="s">
        <v>13</v>
      </c>
      <c r="H78" s="2">
        <v>2</v>
      </c>
      <c r="I78" s="22">
        <v>3.3523073000000001</v>
      </c>
      <c r="J78" s="5">
        <v>9.7672190000000008</v>
      </c>
      <c r="K78" s="5">
        <v>11.002836</v>
      </c>
      <c r="L78" s="5">
        <v>31.845296999999999</v>
      </c>
      <c r="M78" s="5">
        <v>52.903945999999998</v>
      </c>
      <c r="N78" s="5">
        <v>26.676967999999999</v>
      </c>
      <c r="O78" s="5">
        <v>48.711950000000002</v>
      </c>
      <c r="P78" s="5">
        <v>47.818869999999997</v>
      </c>
      <c r="Q78" s="5">
        <v>3.4691808000000002</v>
      </c>
      <c r="R78" s="23" t="s">
        <v>157</v>
      </c>
      <c r="S78" s="20">
        <v>736.72018051147495</v>
      </c>
      <c r="T78" s="15" t="str">
        <f t="shared" si="1"/>
        <v>https://weather.covercrop-data.org/daily?lat=40.243897412069&amp;lon=-94.031547150753&amp;start=2021-10-05&amp;end=2022-04-27&amp;gddbase=4&amp;gddmin=0&amp;stats=sum(gdd)&amp;output=html</v>
      </c>
    </row>
    <row r="79" spans="1:20" x14ac:dyDescent="0.25">
      <c r="A79" s="6">
        <v>40.282836000000003</v>
      </c>
      <c r="B79" s="3">
        <v>-93.913678000000004</v>
      </c>
      <c r="C79" s="2" t="s">
        <v>5</v>
      </c>
      <c r="D79" s="4">
        <v>44451</v>
      </c>
      <c r="E79" s="4">
        <v>44676</v>
      </c>
      <c r="F79" s="4" t="s">
        <v>140</v>
      </c>
      <c r="G79" s="2" t="s">
        <v>49</v>
      </c>
      <c r="H79" s="2">
        <v>1</v>
      </c>
      <c r="I79" s="22">
        <v>3.0204341000000001</v>
      </c>
      <c r="J79" s="5">
        <v>13.303497999999999</v>
      </c>
      <c r="K79" s="5">
        <v>11.765060999999999</v>
      </c>
      <c r="L79" s="5">
        <v>30.093727000000001</v>
      </c>
      <c r="M79" s="5">
        <v>51.323996999999999</v>
      </c>
      <c r="N79" s="5">
        <v>24.179690000000001</v>
      </c>
      <c r="O79" s="5">
        <v>50.589965999999997</v>
      </c>
      <c r="P79" s="5">
        <v>45.975715999999998</v>
      </c>
      <c r="Q79" s="5">
        <v>3.4343178000000001</v>
      </c>
      <c r="R79" s="23" t="s">
        <v>157</v>
      </c>
      <c r="S79" s="20">
        <v>1089.2001767158499</v>
      </c>
      <c r="T79" s="15" t="str">
        <f t="shared" si="1"/>
        <v>https://weather.covercrop-data.org/daily?lat=40.282836&amp;lon=-93.913678&amp;start=2021-09-12&amp;end=2022-04-25&amp;gddbase=4&amp;gddmin=0&amp;stats=sum(gdd)&amp;output=html</v>
      </c>
    </row>
    <row r="80" spans="1:20" x14ac:dyDescent="0.25">
      <c r="A80" s="6">
        <v>40.282836000000003</v>
      </c>
      <c r="B80" s="3">
        <v>-93.913678000000004</v>
      </c>
      <c r="C80" s="2" t="s">
        <v>5</v>
      </c>
      <c r="D80" s="4">
        <v>44451</v>
      </c>
      <c r="E80" s="4">
        <v>44676</v>
      </c>
      <c r="F80" s="4" t="s">
        <v>140</v>
      </c>
      <c r="G80" s="2" t="s">
        <v>49</v>
      </c>
      <c r="H80" s="2">
        <v>2</v>
      </c>
      <c r="I80" s="22">
        <v>2.9000094000000001</v>
      </c>
      <c r="J80" s="5">
        <v>12.264813999999999</v>
      </c>
      <c r="K80" s="5">
        <v>11.949558</v>
      </c>
      <c r="L80" s="5">
        <v>31.531336</v>
      </c>
      <c r="M80" s="5">
        <v>53.150416999999997</v>
      </c>
      <c r="N80" s="5">
        <v>23.455729999999999</v>
      </c>
      <c r="O80" s="5">
        <v>48.383699999999997</v>
      </c>
      <c r="P80" s="5">
        <v>48.166176</v>
      </c>
      <c r="Q80" s="5">
        <v>3.4501216000000001</v>
      </c>
      <c r="R80" s="23" t="s">
        <v>157</v>
      </c>
      <c r="S80" s="20">
        <v>1089.2001767158499</v>
      </c>
      <c r="T80" s="15" t="str">
        <f t="shared" si="1"/>
        <v>https://weather.covercrop-data.org/daily?lat=40.282836&amp;lon=-93.913678&amp;start=2021-09-12&amp;end=2022-04-25&amp;gddbase=4&amp;gddmin=0&amp;stats=sum(gdd)&amp;output=html</v>
      </c>
    </row>
    <row r="81" spans="1:20" x14ac:dyDescent="0.25">
      <c r="A81" s="6">
        <v>40.49361038208</v>
      </c>
      <c r="B81" s="3">
        <v>-87.089324951171804</v>
      </c>
      <c r="C81" s="2" t="s">
        <v>5</v>
      </c>
      <c r="D81" s="4">
        <v>44104</v>
      </c>
      <c r="E81" s="4">
        <v>44299</v>
      </c>
      <c r="F81" s="4" t="s">
        <v>143</v>
      </c>
      <c r="G81" s="2" t="s">
        <v>46</v>
      </c>
      <c r="H81" s="2">
        <v>1</v>
      </c>
      <c r="I81" s="22">
        <v>4.1871366999999999</v>
      </c>
      <c r="J81" s="5">
        <v>13.834222</v>
      </c>
      <c r="K81" s="5">
        <v>9.1289929999999995</v>
      </c>
      <c r="L81" s="5">
        <v>25.976078000000001</v>
      </c>
      <c r="M81" s="5">
        <v>44.266680000000001</v>
      </c>
      <c r="N81" s="5">
        <v>31.681635</v>
      </c>
      <c r="O81" s="5">
        <v>52.892589999999998</v>
      </c>
      <c r="P81" s="5">
        <v>44.624972999999997</v>
      </c>
      <c r="Q81" s="5">
        <v>2.4824402000000001</v>
      </c>
      <c r="R81" s="23" t="s">
        <v>157</v>
      </c>
      <c r="S81" s="20">
        <v>682.12006330490101</v>
      </c>
      <c r="T81" s="15" t="str">
        <f t="shared" si="1"/>
        <v>https://weather.covercrop-data.org/daily?lat=40.49361038208&amp;lon=-87.0893249511718&amp;start=2020-09-30&amp;end=2021-04-13&amp;gddbase=4&amp;gddmin=0&amp;stats=sum(gdd)&amp;output=html</v>
      </c>
    </row>
    <row r="82" spans="1:20" x14ac:dyDescent="0.25">
      <c r="A82" s="6">
        <v>40.49361038208</v>
      </c>
      <c r="B82" s="3">
        <v>-87.089324951171804</v>
      </c>
      <c r="C82" s="2" t="s">
        <v>5</v>
      </c>
      <c r="D82" s="4">
        <v>44104</v>
      </c>
      <c r="E82" s="4">
        <v>44299</v>
      </c>
      <c r="F82" s="4" t="s">
        <v>143</v>
      </c>
      <c r="G82" s="2" t="s">
        <v>46</v>
      </c>
      <c r="H82" s="2">
        <v>2</v>
      </c>
      <c r="I82" s="22">
        <v>3.9524195</v>
      </c>
      <c r="J82" s="5">
        <v>14.451204000000001</v>
      </c>
      <c r="K82" s="5">
        <v>9.0663184999999995</v>
      </c>
      <c r="L82" s="5">
        <v>26.026596000000001</v>
      </c>
      <c r="M82" s="5">
        <v>45.414664999999999</v>
      </c>
      <c r="N82" s="5">
        <v>30.294418</v>
      </c>
      <c r="O82" s="5">
        <v>51.744385000000001</v>
      </c>
      <c r="P82" s="5">
        <v>46.049503000000001</v>
      </c>
      <c r="Q82" s="5">
        <v>2.2061123999999999</v>
      </c>
      <c r="R82" s="23" t="s">
        <v>157</v>
      </c>
      <c r="S82" s="20">
        <v>682.12006330490101</v>
      </c>
      <c r="T82" s="15" t="str">
        <f t="shared" si="1"/>
        <v>https://weather.covercrop-data.org/daily?lat=40.49361038208&amp;lon=-87.0893249511718&amp;start=2020-09-30&amp;end=2021-04-13&amp;gddbase=4&amp;gddmin=0&amp;stats=sum(gdd)&amp;output=html</v>
      </c>
    </row>
    <row r="83" spans="1:20" x14ac:dyDescent="0.25">
      <c r="A83" s="6">
        <v>40.5144653320312</v>
      </c>
      <c r="B83" s="3">
        <v>-75.979179382324205</v>
      </c>
      <c r="C83" s="2" t="s">
        <v>5</v>
      </c>
      <c r="D83" s="4">
        <v>42638</v>
      </c>
      <c r="E83" s="4">
        <v>42868</v>
      </c>
      <c r="F83" s="4" t="s">
        <v>144</v>
      </c>
      <c r="G83" s="2" t="s">
        <v>36</v>
      </c>
      <c r="H83" s="2">
        <v>1</v>
      </c>
      <c r="I83" s="22">
        <v>2.97</v>
      </c>
      <c r="J83" s="5">
        <v>15.93</v>
      </c>
      <c r="K83" s="5">
        <v>8.3699999999999992</v>
      </c>
      <c r="L83" s="5">
        <v>37.22</v>
      </c>
      <c r="M83" s="5">
        <v>56.03</v>
      </c>
      <c r="N83" s="5">
        <v>20.62</v>
      </c>
      <c r="O83" s="5">
        <v>41.36</v>
      </c>
      <c r="P83" s="5">
        <v>55.45</v>
      </c>
      <c r="Q83" s="5">
        <v>3.19</v>
      </c>
      <c r="R83" s="23"/>
      <c r="S83" s="20">
        <v>1009.3652043342601</v>
      </c>
      <c r="T83" s="15" t="str">
        <f t="shared" si="1"/>
        <v>https://weather.covercrop-data.org/daily?lat=40.5144653320312&amp;lon=-75.9791793823242&amp;start=2016-09-25&amp;end=2017-05-13&amp;gddbase=4&amp;gddmin=0&amp;stats=sum(gdd)&amp;output=html</v>
      </c>
    </row>
    <row r="84" spans="1:20" x14ac:dyDescent="0.25">
      <c r="A84" s="6">
        <v>40.5144653320312</v>
      </c>
      <c r="B84" s="3">
        <v>-75.979179382324205</v>
      </c>
      <c r="C84" s="2" t="s">
        <v>5</v>
      </c>
      <c r="D84" s="4">
        <v>42638</v>
      </c>
      <c r="E84" s="4">
        <v>42868</v>
      </c>
      <c r="F84" s="4" t="s">
        <v>144</v>
      </c>
      <c r="G84" s="2" t="s">
        <v>36</v>
      </c>
      <c r="H84" s="2">
        <v>2</v>
      </c>
      <c r="I84" s="22">
        <v>2.69</v>
      </c>
      <c r="J84" s="5">
        <v>12.36</v>
      </c>
      <c r="K84" s="5">
        <v>7.54</v>
      </c>
      <c r="L84" s="5">
        <v>40.35</v>
      </c>
      <c r="M84" s="5">
        <v>60.86</v>
      </c>
      <c r="N84" s="5">
        <v>20.81</v>
      </c>
      <c r="O84" s="5">
        <v>37.07</v>
      </c>
      <c r="P84" s="5">
        <v>59.33</v>
      </c>
      <c r="Q84" s="5">
        <v>3.6</v>
      </c>
      <c r="R84" s="23"/>
      <c r="S84" s="20">
        <v>1009.3652043342601</v>
      </c>
      <c r="T84" s="15" t="str">
        <f t="shared" si="1"/>
        <v>https://weather.covercrop-data.org/daily?lat=40.5144653320312&amp;lon=-75.9791793823242&amp;start=2016-09-25&amp;end=2017-05-13&amp;gddbase=4&amp;gddmin=0&amp;stats=sum(gdd)&amp;output=html</v>
      </c>
    </row>
    <row r="85" spans="1:20" x14ac:dyDescent="0.25">
      <c r="A85" s="6">
        <v>40.515338897705</v>
      </c>
      <c r="B85" s="3">
        <v>-75.988174438476506</v>
      </c>
      <c r="C85" s="2" t="s">
        <v>5</v>
      </c>
      <c r="D85" s="4">
        <v>43015</v>
      </c>
      <c r="E85" s="4">
        <v>43223</v>
      </c>
      <c r="F85" s="4" t="s">
        <v>144</v>
      </c>
      <c r="G85" s="2" t="s">
        <v>35</v>
      </c>
      <c r="H85" s="2">
        <v>1</v>
      </c>
      <c r="I85" s="22">
        <v>3.09</v>
      </c>
      <c r="J85" s="5">
        <v>28.96</v>
      </c>
      <c r="K85" s="5">
        <v>4.78</v>
      </c>
      <c r="L85" s="5">
        <v>30.53</v>
      </c>
      <c r="M85" s="5">
        <v>47.67</v>
      </c>
      <c r="N85" s="5">
        <v>15.5</v>
      </c>
      <c r="O85" s="5">
        <v>49.94</v>
      </c>
      <c r="P85" s="5">
        <v>44.43</v>
      </c>
      <c r="Q85" s="5">
        <v>5.63</v>
      </c>
      <c r="R85" s="23"/>
      <c r="S85" s="20">
        <v>615.41515064239502</v>
      </c>
      <c r="T85" s="15" t="str">
        <f t="shared" si="1"/>
        <v>https://weather.covercrop-data.org/daily?lat=40.515338897705&amp;lon=-75.9881744384765&amp;start=2017-10-07&amp;end=2018-05-03&amp;gddbase=4&amp;gddmin=0&amp;stats=sum(gdd)&amp;output=html</v>
      </c>
    </row>
    <row r="86" spans="1:20" x14ac:dyDescent="0.25">
      <c r="A86" s="6">
        <v>40.515338897705</v>
      </c>
      <c r="B86" s="3">
        <v>-75.988174438476506</v>
      </c>
      <c r="C86" s="2" t="s">
        <v>5</v>
      </c>
      <c r="D86" s="4">
        <v>43015</v>
      </c>
      <c r="E86" s="4">
        <v>43223</v>
      </c>
      <c r="F86" s="4" t="s">
        <v>144</v>
      </c>
      <c r="G86" s="2" t="s">
        <v>35</v>
      </c>
      <c r="H86" s="2">
        <v>2</v>
      </c>
      <c r="I86" s="22">
        <v>2.8</v>
      </c>
      <c r="J86" s="5">
        <v>15.22</v>
      </c>
      <c r="K86" s="5">
        <v>6.83</v>
      </c>
      <c r="L86" s="5">
        <v>29.47</v>
      </c>
      <c r="M86" s="5">
        <v>53.68</v>
      </c>
      <c r="N86" s="5">
        <v>21.47</v>
      </c>
      <c r="O86" s="5">
        <v>42.38</v>
      </c>
      <c r="P86" s="5">
        <v>51.43</v>
      </c>
      <c r="Q86" s="5">
        <v>6.18</v>
      </c>
      <c r="R86" s="23"/>
      <c r="S86" s="20">
        <v>615.41515064239502</v>
      </c>
      <c r="T86" s="15" t="str">
        <f t="shared" si="1"/>
        <v>https://weather.covercrop-data.org/daily?lat=40.515338897705&amp;lon=-75.9881744384765&amp;start=2017-10-07&amp;end=2018-05-03&amp;gddbase=4&amp;gddmin=0&amp;stats=sum(gdd)&amp;output=html</v>
      </c>
    </row>
    <row r="87" spans="1:20" x14ac:dyDescent="0.25">
      <c r="A87" s="6">
        <v>42.757972000000002</v>
      </c>
      <c r="B87" s="3">
        <v>-88.531861000000006</v>
      </c>
      <c r="C87" s="2" t="s">
        <v>5</v>
      </c>
      <c r="D87" s="4">
        <v>44464</v>
      </c>
      <c r="E87" s="4">
        <v>44678</v>
      </c>
      <c r="F87" s="4" t="s">
        <v>145</v>
      </c>
      <c r="G87" s="2" t="s">
        <v>30</v>
      </c>
      <c r="H87" s="2">
        <v>1</v>
      </c>
      <c r="I87" s="22">
        <v>4.2118339999999996</v>
      </c>
      <c r="J87" s="5">
        <v>22.404959000000002</v>
      </c>
      <c r="K87" s="5">
        <v>13.039504000000001</v>
      </c>
      <c r="L87" s="5">
        <v>22.951198999999999</v>
      </c>
      <c r="M87" s="5">
        <v>40.481304000000002</v>
      </c>
      <c r="N87" s="5">
        <v>22.696090000000002</v>
      </c>
      <c r="O87" s="5">
        <v>64.247389999999996</v>
      </c>
      <c r="P87" s="5">
        <v>32.160763000000003</v>
      </c>
      <c r="Q87" s="5">
        <v>3.5918454999999998</v>
      </c>
      <c r="R87" s="23"/>
      <c r="S87" s="20">
        <v>603.80509853363003</v>
      </c>
      <c r="T87" s="15" t="str">
        <f t="shared" si="1"/>
        <v>https://weather.covercrop-data.org/daily?lat=42.757972&amp;lon=-88.531861&amp;start=2021-09-25&amp;end=2022-04-27&amp;gddbase=4&amp;gddmin=0&amp;stats=sum(gdd)&amp;output=html</v>
      </c>
    </row>
    <row r="88" spans="1:20" x14ac:dyDescent="0.25">
      <c r="A88" s="6">
        <v>42.757972000000002</v>
      </c>
      <c r="B88" s="3">
        <v>-88.531861000000006</v>
      </c>
      <c r="C88" s="2" t="s">
        <v>5</v>
      </c>
      <c r="D88" s="4">
        <v>44464</v>
      </c>
      <c r="E88" s="4">
        <v>44678</v>
      </c>
      <c r="F88" s="4" t="s">
        <v>145</v>
      </c>
      <c r="G88" s="2" t="s">
        <v>30</v>
      </c>
      <c r="H88" s="2">
        <v>2</v>
      </c>
      <c r="I88" s="22">
        <v>3.9863305000000002</v>
      </c>
      <c r="J88" s="5">
        <v>21.543676000000001</v>
      </c>
      <c r="K88" s="5">
        <v>13.128610999999999</v>
      </c>
      <c r="L88" s="5">
        <v>22.260611999999998</v>
      </c>
      <c r="M88" s="5">
        <v>40.557568000000003</v>
      </c>
      <c r="N88" s="5">
        <v>23.622845000000002</v>
      </c>
      <c r="O88" s="5">
        <v>64.183459999999997</v>
      </c>
      <c r="P88" s="5">
        <v>32.098025999999997</v>
      </c>
      <c r="Q88" s="5">
        <v>3.7185193999999999</v>
      </c>
      <c r="R88" s="23"/>
      <c r="S88" s="20">
        <v>603.80509853363003</v>
      </c>
      <c r="T88" s="15" t="str">
        <f t="shared" si="1"/>
        <v>https://weather.covercrop-data.org/daily?lat=42.757972&amp;lon=-88.531861&amp;start=2021-09-25&amp;end=2022-04-27&amp;gddbase=4&amp;gddmin=0&amp;stats=sum(gdd)&amp;output=html</v>
      </c>
    </row>
    <row r="89" spans="1:20" x14ac:dyDescent="0.25">
      <c r="A89" s="6">
        <v>43.137171000473998</v>
      </c>
      <c r="B89" s="3">
        <v>-70.959432644046004</v>
      </c>
      <c r="C89" s="2" t="s">
        <v>5</v>
      </c>
      <c r="D89" s="4">
        <v>44510</v>
      </c>
      <c r="E89" s="4">
        <v>44704</v>
      </c>
      <c r="F89" s="4" t="s">
        <v>146</v>
      </c>
      <c r="G89" s="2" t="s">
        <v>10</v>
      </c>
      <c r="H89" s="2">
        <v>1</v>
      </c>
      <c r="I89" s="22">
        <v>3.7458781999999999</v>
      </c>
      <c r="J89" s="5">
        <v>28.442661000000001</v>
      </c>
      <c r="K89" s="5">
        <v>12.189356</v>
      </c>
      <c r="L89" s="5">
        <v>22.515885999999998</v>
      </c>
      <c r="M89" s="5">
        <v>41.691032</v>
      </c>
      <c r="N89" s="5">
        <v>16.849444999999999</v>
      </c>
      <c r="O89" s="5">
        <v>62.437224999999998</v>
      </c>
      <c r="P89" s="5">
        <v>33.570979999999999</v>
      </c>
      <c r="Q89" s="5">
        <v>3.9917938999999998</v>
      </c>
      <c r="R89" s="23" t="s">
        <v>157</v>
      </c>
      <c r="S89" s="20">
        <v>425.60508441924998</v>
      </c>
      <c r="T89" s="15" t="str">
        <f t="shared" si="1"/>
        <v>https://weather.covercrop-data.org/daily?lat=43.137171000474&amp;lon=-70.959432644046&amp;start=2021-11-10&amp;end=2022-05-23&amp;gddbase=4&amp;gddmin=0&amp;stats=sum(gdd)&amp;output=html</v>
      </c>
    </row>
    <row r="90" spans="1:20" x14ac:dyDescent="0.25">
      <c r="A90" s="6">
        <v>43.137171000473998</v>
      </c>
      <c r="B90" s="3">
        <v>-70.959432644046004</v>
      </c>
      <c r="C90" s="2" t="s">
        <v>5</v>
      </c>
      <c r="D90" s="4">
        <v>44510</v>
      </c>
      <c r="E90" s="4">
        <v>44704</v>
      </c>
      <c r="F90" s="4" t="s">
        <v>146</v>
      </c>
      <c r="G90" s="2" t="s">
        <v>10</v>
      </c>
      <c r="H90" s="2">
        <v>2</v>
      </c>
      <c r="I90" s="22">
        <v>3.3189199999999999</v>
      </c>
      <c r="J90" s="5">
        <v>24.492806999999999</v>
      </c>
      <c r="K90" s="5">
        <v>10.398903000000001</v>
      </c>
      <c r="L90" s="5">
        <v>22.283660000000001</v>
      </c>
      <c r="M90" s="5">
        <v>43.703809999999997</v>
      </c>
      <c r="N90" s="5">
        <v>21.144825000000001</v>
      </c>
      <c r="O90" s="5">
        <v>59.513350000000003</v>
      </c>
      <c r="P90" s="5">
        <v>37.379420000000003</v>
      </c>
      <c r="Q90" s="5">
        <v>3.1072261000000001</v>
      </c>
      <c r="R90" s="23" t="s">
        <v>157</v>
      </c>
      <c r="S90" s="20">
        <v>425.60508441924998</v>
      </c>
      <c r="T90" s="15" t="str">
        <f t="shared" si="1"/>
        <v>https://weather.covercrop-data.org/daily?lat=43.137171000474&amp;lon=-70.959432644046&amp;start=2021-11-10&amp;end=2022-05-23&amp;gddbase=4&amp;gddmin=0&amp;stats=sum(gdd)&amp;output=html</v>
      </c>
    </row>
    <row r="91" spans="1:20" x14ac:dyDescent="0.25">
      <c r="A91" s="6">
        <v>43.167862154881</v>
      </c>
      <c r="B91" s="3">
        <v>-70.932165840370999</v>
      </c>
      <c r="C91" s="2" t="s">
        <v>5</v>
      </c>
      <c r="D91" s="4">
        <v>44505</v>
      </c>
      <c r="E91" s="4">
        <v>44701</v>
      </c>
      <c r="F91" s="4" t="s">
        <v>146</v>
      </c>
      <c r="G91" s="2" t="s">
        <v>14</v>
      </c>
      <c r="H91" s="2">
        <v>1</v>
      </c>
      <c r="I91" s="22">
        <v>3.1404320000000001</v>
      </c>
      <c r="J91" s="5">
        <v>24.369150000000001</v>
      </c>
      <c r="K91" s="5">
        <v>10.455280999999999</v>
      </c>
      <c r="L91" s="5">
        <v>22.085674000000001</v>
      </c>
      <c r="M91" s="5">
        <v>44.169024999999998</v>
      </c>
      <c r="N91" s="5">
        <v>20.957943</v>
      </c>
      <c r="O91" s="5">
        <v>58.976363999999997</v>
      </c>
      <c r="P91" s="5">
        <v>37.720010000000002</v>
      </c>
      <c r="Q91" s="5">
        <v>3.3036246</v>
      </c>
      <c r="R91" s="23" t="s">
        <v>157</v>
      </c>
      <c r="S91" s="20">
        <v>396.37010383606003</v>
      </c>
      <c r="T91" s="15" t="str">
        <f t="shared" si="1"/>
        <v>https://weather.covercrop-data.org/daily?lat=43.167862154881&amp;lon=-70.932165840371&amp;start=2021-11-05&amp;end=2022-05-20&amp;gddbase=4&amp;gddmin=0&amp;stats=sum(gdd)&amp;output=html</v>
      </c>
    </row>
    <row r="92" spans="1:20" x14ac:dyDescent="0.25">
      <c r="A92" s="6">
        <v>43.167862154881</v>
      </c>
      <c r="B92" s="3">
        <v>-70.932165840370999</v>
      </c>
      <c r="C92" s="2" t="s">
        <v>5</v>
      </c>
      <c r="D92" s="4">
        <v>44505</v>
      </c>
      <c r="E92" s="4">
        <v>44701</v>
      </c>
      <c r="F92" s="4" t="s">
        <v>146</v>
      </c>
      <c r="G92" s="2" t="s">
        <v>14</v>
      </c>
      <c r="H92" s="2">
        <v>2</v>
      </c>
      <c r="I92" s="22">
        <v>3.3045551999999998</v>
      </c>
      <c r="J92" s="5">
        <v>23.601105</v>
      </c>
      <c r="K92" s="5">
        <v>11.010869</v>
      </c>
      <c r="L92" s="5">
        <v>22.495514</v>
      </c>
      <c r="M92" s="5">
        <v>42.429447000000003</v>
      </c>
      <c r="N92" s="5">
        <v>22.624084</v>
      </c>
      <c r="O92" s="5">
        <v>61.186869999999999</v>
      </c>
      <c r="P92" s="5">
        <v>35.24821</v>
      </c>
      <c r="Q92" s="5">
        <v>3.5649196999999999</v>
      </c>
      <c r="R92" s="23" t="s">
        <v>157</v>
      </c>
      <c r="S92" s="20">
        <v>396.37010383606003</v>
      </c>
      <c r="T92" s="15" t="str">
        <f t="shared" si="1"/>
        <v>https://weather.covercrop-data.org/daily?lat=43.167862154881&amp;lon=-70.932165840371&amp;start=2021-11-05&amp;end=2022-05-20&amp;gddbase=4&amp;gddmin=0&amp;stats=sum(gdd)&amp;output=html</v>
      </c>
    </row>
    <row r="93" spans="1:20" x14ac:dyDescent="0.25">
      <c r="A93" s="6">
        <v>43.759061000000003</v>
      </c>
      <c r="B93" s="3">
        <v>-88.906953999999999</v>
      </c>
      <c r="C93" s="2" t="s">
        <v>5</v>
      </c>
      <c r="D93" s="4">
        <v>44479</v>
      </c>
      <c r="E93" s="4">
        <v>44696</v>
      </c>
      <c r="F93" s="4" t="s">
        <v>145</v>
      </c>
      <c r="G93" s="2" t="s">
        <v>47</v>
      </c>
      <c r="H93" s="2">
        <v>1</v>
      </c>
      <c r="I93" s="22">
        <v>4.2416625000000003</v>
      </c>
      <c r="J93" s="5">
        <v>31.089054000000001</v>
      </c>
      <c r="K93" s="5">
        <v>14.989693000000001</v>
      </c>
      <c r="L93" s="5">
        <v>19.53623</v>
      </c>
      <c r="M93" s="5">
        <v>32.249012</v>
      </c>
      <c r="N93" s="5">
        <v>19.688009999999998</v>
      </c>
      <c r="O93" s="5">
        <v>76.120940000000004</v>
      </c>
      <c r="P93" s="5">
        <v>19.919132000000001</v>
      </c>
      <c r="Q93" s="5">
        <v>3.9599299999999999</v>
      </c>
      <c r="R93" s="23"/>
      <c r="S93" s="20">
        <v>480.41520643234298</v>
      </c>
      <c r="T93" s="15" t="str">
        <f t="shared" si="1"/>
        <v>https://weather.covercrop-data.org/daily?lat=43.759061&amp;lon=-88.906954&amp;start=2021-10-10&amp;end=2022-05-15&amp;gddbase=4&amp;gddmin=0&amp;stats=sum(gdd)&amp;output=html</v>
      </c>
    </row>
    <row r="94" spans="1:20" x14ac:dyDescent="0.25">
      <c r="A94" s="6">
        <v>43.759061000000003</v>
      </c>
      <c r="B94" s="3">
        <v>-88.906953999999999</v>
      </c>
      <c r="C94" s="2" t="s">
        <v>5</v>
      </c>
      <c r="D94" s="4">
        <v>44479</v>
      </c>
      <c r="E94" s="4">
        <v>44696</v>
      </c>
      <c r="F94" s="4" t="s">
        <v>145</v>
      </c>
      <c r="G94" s="2" t="s">
        <v>47</v>
      </c>
      <c r="H94" s="2">
        <v>2</v>
      </c>
      <c r="I94" s="22">
        <v>3.8510308000000002</v>
      </c>
      <c r="J94" s="5">
        <v>28.75178</v>
      </c>
      <c r="K94" s="5">
        <v>16.042355000000001</v>
      </c>
      <c r="L94" s="5">
        <v>22.629346999999999</v>
      </c>
      <c r="M94" s="5">
        <v>35.935540000000003</v>
      </c>
      <c r="N94" s="5">
        <v>17.934784000000001</v>
      </c>
      <c r="O94" s="5">
        <v>71.754980000000003</v>
      </c>
      <c r="P94" s="5">
        <v>23.623514</v>
      </c>
      <c r="Q94" s="5">
        <v>4.6215013999999996</v>
      </c>
      <c r="R94" s="23"/>
      <c r="S94" s="20">
        <v>480.41520643234298</v>
      </c>
      <c r="T94" s="15" t="str">
        <f t="shared" si="1"/>
        <v>https://weather.covercrop-data.org/daily?lat=43.759061&amp;lon=-88.906954&amp;start=2021-10-10&amp;end=2022-05-15&amp;gddbase=4&amp;gddmin=0&amp;stats=sum(gdd)&amp;output=html</v>
      </c>
    </row>
    <row r="95" spans="1:20" x14ac:dyDescent="0.25">
      <c r="A95" s="6">
        <v>44.013638899999997</v>
      </c>
      <c r="B95" s="3">
        <v>-87.785021999999998</v>
      </c>
      <c r="C95" s="2" t="s">
        <v>5</v>
      </c>
      <c r="D95" s="4">
        <v>44092</v>
      </c>
      <c r="E95" s="4">
        <v>44304</v>
      </c>
      <c r="F95" s="4" t="s">
        <v>145</v>
      </c>
      <c r="G95" s="2" t="s">
        <v>7</v>
      </c>
      <c r="H95" s="2">
        <v>1</v>
      </c>
      <c r="I95" s="22">
        <v>4.1915417000000001</v>
      </c>
      <c r="J95" s="5">
        <v>17.151083</v>
      </c>
      <c r="K95" s="5">
        <v>11.641101000000001</v>
      </c>
      <c r="L95" s="5">
        <v>23.521205999999999</v>
      </c>
      <c r="M95" s="5">
        <v>39.360573000000002</v>
      </c>
      <c r="N95" s="5">
        <v>30.410941999999999</v>
      </c>
      <c r="O95" s="5">
        <v>56.800808000000004</v>
      </c>
      <c r="P95" s="5">
        <v>40.296402</v>
      </c>
      <c r="Q95" s="5">
        <v>2.9027916999999999</v>
      </c>
      <c r="R95" s="23" t="s">
        <v>152</v>
      </c>
      <c r="S95" s="20">
        <v>438.90515613555903</v>
      </c>
      <c r="T95" s="15" t="str">
        <f t="shared" si="1"/>
        <v>https://weather.covercrop-data.org/daily?lat=44.0136389&amp;lon=-87.785022&amp;start=2020-09-18&amp;end=2021-04-18&amp;gddbase=4&amp;gddmin=0&amp;stats=sum(gdd)&amp;output=html</v>
      </c>
    </row>
    <row r="96" spans="1:20" x14ac:dyDescent="0.25">
      <c r="A96" s="6">
        <v>44.013638899999997</v>
      </c>
      <c r="B96" s="3">
        <v>-87.785021999999998</v>
      </c>
      <c r="C96" s="2" t="s">
        <v>5</v>
      </c>
      <c r="D96" s="4">
        <v>44092</v>
      </c>
      <c r="E96" s="4">
        <v>44304</v>
      </c>
      <c r="F96" s="4" t="s">
        <v>145</v>
      </c>
      <c r="G96" s="2" t="s">
        <v>7</v>
      </c>
      <c r="H96" s="2">
        <v>2</v>
      </c>
      <c r="I96" s="22">
        <v>4.1123010000000004</v>
      </c>
      <c r="J96" s="5">
        <v>17.494450000000001</v>
      </c>
      <c r="K96" s="5">
        <v>11.577883999999999</v>
      </c>
      <c r="L96" s="5">
        <v>24.070336999999999</v>
      </c>
      <c r="M96" s="5">
        <v>40.84225</v>
      </c>
      <c r="N96" s="5">
        <v>28.832073000000001</v>
      </c>
      <c r="O96" s="5">
        <v>55.256607000000002</v>
      </c>
      <c r="P96" s="5">
        <v>41.896576000000003</v>
      </c>
      <c r="Q96" s="5">
        <v>2.8468174999999998</v>
      </c>
      <c r="R96" s="23" t="s">
        <v>152</v>
      </c>
      <c r="S96" s="20">
        <v>438.90515613555903</v>
      </c>
      <c r="T96" s="15" t="str">
        <f t="shared" si="1"/>
        <v>https://weather.covercrop-data.org/daily?lat=44.0136389&amp;lon=-87.785022&amp;start=2020-09-18&amp;end=2021-04-18&amp;gddbase=4&amp;gddmin=0&amp;stats=sum(gdd)&amp;output=html</v>
      </c>
    </row>
    <row r="97" spans="1:20" x14ac:dyDescent="0.25">
      <c r="A97" s="6">
        <v>44.736797332763601</v>
      </c>
      <c r="B97" s="3">
        <v>-93.051940917968693</v>
      </c>
      <c r="C97" s="2" t="s">
        <v>5</v>
      </c>
      <c r="D97" s="4">
        <v>44104</v>
      </c>
      <c r="E97" s="4">
        <v>44334</v>
      </c>
      <c r="F97" s="4" t="s">
        <v>147</v>
      </c>
      <c r="G97" s="2" t="s">
        <v>25</v>
      </c>
      <c r="H97" s="2">
        <v>1</v>
      </c>
      <c r="I97" s="22">
        <v>2.5902739000000001</v>
      </c>
      <c r="J97" s="5">
        <v>13.964152</v>
      </c>
      <c r="K97" s="5">
        <v>8.7473259999999993</v>
      </c>
      <c r="L97" s="5">
        <v>28.776821000000002</v>
      </c>
      <c r="M97" s="5">
        <v>50.368682999999997</v>
      </c>
      <c r="N97" s="5">
        <v>27.855373</v>
      </c>
      <c r="O97" s="5">
        <v>46.856414999999998</v>
      </c>
      <c r="P97" s="5">
        <v>50.198723000000001</v>
      </c>
      <c r="Q97" s="5">
        <v>2.9448620000000001</v>
      </c>
      <c r="R97" s="23" t="s">
        <v>157</v>
      </c>
      <c r="S97" s="20">
        <v>579.67518758773804</v>
      </c>
      <c r="T97" s="15" t="str">
        <f t="shared" si="1"/>
        <v>https://weather.covercrop-data.org/daily?lat=44.7367973327636&amp;lon=-93.0519409179687&amp;start=2020-09-30&amp;end=2021-05-18&amp;gddbase=4&amp;gddmin=0&amp;stats=sum(gdd)&amp;output=html</v>
      </c>
    </row>
    <row r="98" spans="1:20" x14ac:dyDescent="0.25">
      <c r="A98" s="6">
        <v>44.736797332763601</v>
      </c>
      <c r="B98" s="3">
        <v>-93.051940917968693</v>
      </c>
      <c r="C98" s="2" t="s">
        <v>5</v>
      </c>
      <c r="D98" s="4">
        <v>44104</v>
      </c>
      <c r="E98" s="4">
        <v>44334</v>
      </c>
      <c r="F98" s="4" t="s">
        <v>147</v>
      </c>
      <c r="G98" s="2" t="s">
        <v>25</v>
      </c>
      <c r="H98" s="2">
        <v>2</v>
      </c>
      <c r="I98" s="22">
        <v>2.8182410999999998</v>
      </c>
      <c r="J98" s="5">
        <v>15.049636</v>
      </c>
      <c r="K98" s="5">
        <v>8.8185739999999999</v>
      </c>
      <c r="L98" s="5">
        <v>28.993492</v>
      </c>
      <c r="M98" s="5">
        <v>50.686706999999998</v>
      </c>
      <c r="N98" s="5">
        <v>26.174911000000002</v>
      </c>
      <c r="O98" s="5">
        <v>46.493217000000001</v>
      </c>
      <c r="P98" s="5">
        <v>50.455314999999999</v>
      </c>
      <c r="Q98" s="5">
        <v>3.0514709999999998</v>
      </c>
      <c r="R98" s="23" t="s">
        <v>157</v>
      </c>
      <c r="S98" s="20">
        <v>579.67518758773804</v>
      </c>
      <c r="T98" s="15" t="str">
        <f t="shared" si="1"/>
        <v>https://weather.covercrop-data.org/daily?lat=44.7367973327636&amp;lon=-93.0519409179687&amp;start=2020-09-30&amp;end=2021-05-18&amp;gddbase=4&amp;gddmin=0&amp;stats=sum(gdd)&amp;output=html</v>
      </c>
    </row>
    <row r="99" spans="1:20" x14ac:dyDescent="0.25">
      <c r="A99" s="6">
        <v>44.907962513956001</v>
      </c>
      <c r="B99" s="3">
        <v>-72.783844647113</v>
      </c>
      <c r="C99" s="2" t="s">
        <v>5</v>
      </c>
      <c r="D99" s="4">
        <v>44465</v>
      </c>
      <c r="E99" s="4">
        <v>44706</v>
      </c>
      <c r="F99" s="4" t="s">
        <v>148</v>
      </c>
      <c r="G99" s="2" t="s">
        <v>17</v>
      </c>
      <c r="H99" s="2">
        <v>1</v>
      </c>
      <c r="I99" s="22">
        <v>2.6204352000000002</v>
      </c>
      <c r="J99" s="5">
        <v>18.833217999999999</v>
      </c>
      <c r="K99" s="5">
        <v>10.947224</v>
      </c>
      <c r="L99" s="5">
        <v>29.330960999999999</v>
      </c>
      <c r="M99" s="5">
        <v>54.343437000000002</v>
      </c>
      <c r="N99" s="5">
        <v>17.059726999999999</v>
      </c>
      <c r="O99" s="5">
        <v>47.019374999999997</v>
      </c>
      <c r="P99" s="5">
        <v>48.434049999999999</v>
      </c>
      <c r="Q99" s="5">
        <v>4.5465736000000003</v>
      </c>
      <c r="R99" s="23" t="s">
        <v>157</v>
      </c>
      <c r="S99" s="20">
        <v>649.70019769668602</v>
      </c>
      <c r="T99" s="15" t="str">
        <f t="shared" si="1"/>
        <v>https://weather.covercrop-data.org/daily?lat=44.907962513956&amp;lon=-72.783844647113&amp;start=2021-09-26&amp;end=2022-05-25&amp;gddbase=4&amp;gddmin=0&amp;stats=sum(gdd)&amp;output=html</v>
      </c>
    </row>
    <row r="100" spans="1:20" x14ac:dyDescent="0.25">
      <c r="A100" s="6">
        <v>44.907962513956001</v>
      </c>
      <c r="B100" s="3">
        <v>-72.783844647113</v>
      </c>
      <c r="C100" s="2" t="s">
        <v>5</v>
      </c>
      <c r="D100" s="4">
        <v>44465</v>
      </c>
      <c r="E100" s="4">
        <v>44706</v>
      </c>
      <c r="F100" s="4" t="s">
        <v>148</v>
      </c>
      <c r="G100" s="2" t="s">
        <v>17</v>
      </c>
      <c r="H100" s="2">
        <v>2</v>
      </c>
      <c r="I100" s="22">
        <v>2.8433473</v>
      </c>
      <c r="J100" s="5">
        <v>19.348863999999999</v>
      </c>
      <c r="K100" s="5">
        <v>10.469643</v>
      </c>
      <c r="L100" s="5">
        <v>29.133703000000001</v>
      </c>
      <c r="M100" s="5">
        <v>53.682994999999998</v>
      </c>
      <c r="N100" s="5">
        <v>17.412962</v>
      </c>
      <c r="O100" s="5">
        <v>47.821635999999998</v>
      </c>
      <c r="P100" s="5">
        <v>47.823174000000002</v>
      </c>
      <c r="Q100" s="5">
        <v>4.3551916999999998</v>
      </c>
      <c r="R100" s="23" t="s">
        <v>157</v>
      </c>
      <c r="S100" s="20">
        <v>649.70019769668602</v>
      </c>
      <c r="T100" s="15" t="str">
        <f t="shared" si="1"/>
        <v>https://weather.covercrop-data.org/daily?lat=44.907962513956&amp;lon=-72.783844647113&amp;start=2021-09-26&amp;end=2022-05-25&amp;gddbase=4&amp;gddmin=0&amp;stats=sum(gdd)&amp;output=html</v>
      </c>
    </row>
    <row r="101" spans="1:20" x14ac:dyDescent="0.25">
      <c r="A101" s="6">
        <v>37.881058000000003</v>
      </c>
      <c r="B101" s="3">
        <v>-76.799492000000001</v>
      </c>
      <c r="C101" s="2" t="s">
        <v>52</v>
      </c>
      <c r="D101" s="4">
        <v>44496</v>
      </c>
      <c r="E101" s="4">
        <v>44681</v>
      </c>
      <c r="F101" s="4" t="s">
        <v>133</v>
      </c>
      <c r="G101" s="2" t="s">
        <v>53</v>
      </c>
      <c r="H101" s="2">
        <v>1</v>
      </c>
      <c r="I101" s="22">
        <v>1.6495025000000001</v>
      </c>
      <c r="J101" s="5">
        <v>25.946843999999999</v>
      </c>
      <c r="K101" s="5">
        <v>10.765133000000001</v>
      </c>
      <c r="L101" s="5">
        <v>28.792300999999998</v>
      </c>
      <c r="M101" s="5">
        <v>32.413449999999997</v>
      </c>
      <c r="N101" s="5">
        <v>31.494012999999999</v>
      </c>
      <c r="O101" s="5">
        <v>73.187179999999998</v>
      </c>
      <c r="P101" s="5">
        <v>20.469173000000001</v>
      </c>
      <c r="Q101" s="5">
        <v>6.3436469999999998</v>
      </c>
      <c r="R101" s="23" t="s">
        <v>154</v>
      </c>
      <c r="S101" s="20">
        <v>935.10509443283104</v>
      </c>
      <c r="T101" s="15" t="str">
        <f t="shared" si="1"/>
        <v>https://weather.covercrop-data.org/daily?lat=37.881058&amp;lon=-76.799492&amp;start=2021-10-27&amp;end=2022-04-30&amp;gddbase=4&amp;gddmin=0&amp;stats=sum(gdd)&amp;output=html</v>
      </c>
    </row>
    <row r="102" spans="1:20" x14ac:dyDescent="0.25">
      <c r="A102" s="6">
        <v>37.881058000000003</v>
      </c>
      <c r="B102" s="3">
        <v>-76.799492000000001</v>
      </c>
      <c r="C102" s="2" t="s">
        <v>52</v>
      </c>
      <c r="D102" s="4">
        <v>44496</v>
      </c>
      <c r="E102" s="4">
        <v>44681</v>
      </c>
      <c r="F102" s="4" t="s">
        <v>133</v>
      </c>
      <c r="G102" s="2" t="s">
        <v>53</v>
      </c>
      <c r="H102" s="2">
        <v>2</v>
      </c>
      <c r="I102" s="22">
        <v>1.9700123</v>
      </c>
      <c r="J102" s="5">
        <v>18.455249999999999</v>
      </c>
      <c r="K102" s="5">
        <v>10.845941</v>
      </c>
      <c r="L102" s="5">
        <v>32.916179999999997</v>
      </c>
      <c r="M102" s="5">
        <v>39.119267000000001</v>
      </c>
      <c r="N102" s="5">
        <v>32.347880000000004</v>
      </c>
      <c r="O102" s="5">
        <v>65.114670000000004</v>
      </c>
      <c r="P102" s="5">
        <v>26.550364999999999</v>
      </c>
      <c r="Q102" s="5">
        <v>8.3349630000000001</v>
      </c>
      <c r="R102" s="23" t="s">
        <v>154</v>
      </c>
      <c r="S102" s="20">
        <v>935.10509443283104</v>
      </c>
      <c r="T102" s="15" t="str">
        <f t="shared" si="1"/>
        <v>https://weather.covercrop-data.org/daily?lat=37.881058&amp;lon=-76.799492&amp;start=2021-10-27&amp;end=2022-04-30&amp;gddbase=4&amp;gddmin=0&amp;stats=sum(gdd)&amp;output=html</v>
      </c>
    </row>
    <row r="103" spans="1:20" x14ac:dyDescent="0.25">
      <c r="A103" s="6">
        <v>32.865390777587798</v>
      </c>
      <c r="B103" s="3">
        <v>-82.258361816406193</v>
      </c>
      <c r="C103" s="2" t="s">
        <v>54</v>
      </c>
      <c r="D103" s="4">
        <v>43835</v>
      </c>
      <c r="E103" s="4">
        <v>43956</v>
      </c>
      <c r="F103" s="4" t="s">
        <v>135</v>
      </c>
      <c r="G103" s="2" t="s">
        <v>56</v>
      </c>
      <c r="H103" s="2">
        <v>1</v>
      </c>
      <c r="I103" s="22">
        <v>2.46</v>
      </c>
      <c r="J103" s="5">
        <v>8.6999999999999993</v>
      </c>
      <c r="K103" s="5">
        <v>3.01</v>
      </c>
      <c r="L103" s="5">
        <v>29.15</v>
      </c>
      <c r="M103" s="5">
        <v>52.85</v>
      </c>
      <c r="N103" s="5">
        <v>36.68</v>
      </c>
      <c r="O103" s="5">
        <v>47.51</v>
      </c>
      <c r="P103" s="5">
        <v>47.51</v>
      </c>
      <c r="Q103" s="5">
        <v>4.9800000000000004</v>
      </c>
      <c r="R103" s="23"/>
      <c r="S103" s="20">
        <v>1342.78000640869</v>
      </c>
      <c r="T103" s="15" t="str">
        <f t="shared" si="1"/>
        <v>https://weather.covercrop-data.org/daily?lat=32.8653907775878&amp;lon=-82.2583618164062&amp;start=2020-01-05&amp;end=2020-05-05&amp;gddbase=4&amp;gddmin=0&amp;stats=sum(gdd)&amp;output=html</v>
      </c>
    </row>
    <row r="104" spans="1:20" x14ac:dyDescent="0.25">
      <c r="A104" s="6">
        <v>32.865390777587798</v>
      </c>
      <c r="B104" s="3">
        <v>-82.258361816406193</v>
      </c>
      <c r="C104" s="2" t="s">
        <v>54</v>
      </c>
      <c r="D104" s="4">
        <v>43835</v>
      </c>
      <c r="E104" s="4">
        <v>43956</v>
      </c>
      <c r="F104" s="4" t="s">
        <v>135</v>
      </c>
      <c r="G104" s="2" t="s">
        <v>56</v>
      </c>
      <c r="H104" s="2">
        <v>2</v>
      </c>
      <c r="I104" s="22">
        <v>2.72</v>
      </c>
      <c r="J104" s="5">
        <v>10.15</v>
      </c>
      <c r="K104" s="5">
        <v>2.54</v>
      </c>
      <c r="L104" s="5">
        <v>27.78</v>
      </c>
      <c r="M104" s="5">
        <v>52.58</v>
      </c>
      <c r="N104" s="5">
        <v>35.69</v>
      </c>
      <c r="O104" s="5">
        <v>48.01</v>
      </c>
      <c r="P104" s="5">
        <v>47.6</v>
      </c>
      <c r="Q104" s="5">
        <v>4.3899999999999997</v>
      </c>
      <c r="R104" s="23"/>
      <c r="S104" s="20">
        <v>1342.78000640869</v>
      </c>
      <c r="T104" s="15" t="str">
        <f t="shared" si="1"/>
        <v>https://weather.covercrop-data.org/daily?lat=32.8653907775878&amp;lon=-82.2583618164062&amp;start=2020-01-05&amp;end=2020-05-05&amp;gddbase=4&amp;gddmin=0&amp;stats=sum(gdd)&amp;output=html</v>
      </c>
    </row>
    <row r="105" spans="1:20" x14ac:dyDescent="0.25">
      <c r="A105" s="6">
        <v>34.531700134277301</v>
      </c>
      <c r="B105" s="3">
        <v>-79.248802185058594</v>
      </c>
      <c r="C105" s="2" t="s">
        <v>54</v>
      </c>
      <c r="D105" s="4">
        <v>44099</v>
      </c>
      <c r="E105" s="4">
        <v>44265</v>
      </c>
      <c r="F105" s="4" t="s">
        <v>132</v>
      </c>
      <c r="G105" s="2" t="s">
        <v>55</v>
      </c>
      <c r="H105" s="2">
        <v>1</v>
      </c>
      <c r="I105" s="22">
        <v>2.6994877000000002</v>
      </c>
      <c r="J105" s="5">
        <v>6.0792365000000004</v>
      </c>
      <c r="K105" s="5">
        <v>5.343153</v>
      </c>
      <c r="L105" s="5">
        <v>22.789593</v>
      </c>
      <c r="M105" s="5">
        <v>35.455150000000003</v>
      </c>
      <c r="N105" s="5">
        <v>52.904829999999997</v>
      </c>
      <c r="O105" s="5">
        <v>63.500492000000001</v>
      </c>
      <c r="P105" s="5">
        <v>33.643783999999997</v>
      </c>
      <c r="Q105" s="5">
        <v>2.8557231000000001</v>
      </c>
      <c r="R105" s="23" t="s">
        <v>157</v>
      </c>
      <c r="S105" s="20">
        <v>1321.5500187873799</v>
      </c>
      <c r="T105" s="15" t="str">
        <f t="shared" si="1"/>
        <v>https://weather.covercrop-data.org/daily?lat=34.5317001342773&amp;lon=-79.2488021850586&amp;start=2020-09-25&amp;end=2021-03-10&amp;gddbase=4&amp;gddmin=0&amp;stats=sum(gdd)&amp;output=html</v>
      </c>
    </row>
    <row r="106" spans="1:20" x14ac:dyDescent="0.25">
      <c r="A106" s="6">
        <v>34.531700134277301</v>
      </c>
      <c r="B106" s="3">
        <v>-79.248802185058594</v>
      </c>
      <c r="C106" s="2" t="s">
        <v>54</v>
      </c>
      <c r="D106" s="4">
        <v>44099</v>
      </c>
      <c r="E106" s="4">
        <v>44265</v>
      </c>
      <c r="F106" s="4" t="s">
        <v>132</v>
      </c>
      <c r="G106" s="2" t="s">
        <v>55</v>
      </c>
      <c r="H106" s="2">
        <v>2</v>
      </c>
      <c r="I106" s="22">
        <v>2.6285249999999998</v>
      </c>
      <c r="J106" s="5">
        <v>5.7571409999999998</v>
      </c>
      <c r="K106" s="5">
        <v>5.0475415999999997</v>
      </c>
      <c r="L106" s="5">
        <v>22.500643</v>
      </c>
      <c r="M106" s="5">
        <v>33.864936999999998</v>
      </c>
      <c r="N106" s="5">
        <v>55.072403000000001</v>
      </c>
      <c r="O106" s="5">
        <v>65.203569999999999</v>
      </c>
      <c r="P106" s="5">
        <v>31.897625000000001</v>
      </c>
      <c r="Q106" s="5">
        <v>2.8988116000000002</v>
      </c>
      <c r="R106" s="23" t="s">
        <v>157</v>
      </c>
      <c r="S106" s="20">
        <v>1321.5500187873799</v>
      </c>
      <c r="T106" s="15" t="str">
        <f t="shared" si="1"/>
        <v>https://weather.covercrop-data.org/daily?lat=34.5317001342773&amp;lon=-79.2488021850586&amp;start=2020-09-25&amp;end=2021-03-10&amp;gddbase=4&amp;gddmin=0&amp;stats=sum(gdd)&amp;output=html</v>
      </c>
    </row>
    <row r="107" spans="1:20" x14ac:dyDescent="0.25">
      <c r="A107" s="6">
        <v>35.356938424793697</v>
      </c>
      <c r="B107" s="3">
        <v>-81.646875055511401</v>
      </c>
      <c r="C107" s="2" t="s">
        <v>57</v>
      </c>
      <c r="D107" s="4">
        <v>44467</v>
      </c>
      <c r="E107" s="4">
        <v>44624</v>
      </c>
      <c r="F107" s="4" t="s">
        <v>132</v>
      </c>
      <c r="G107" s="2" t="s">
        <v>61</v>
      </c>
      <c r="H107" s="2">
        <v>1</v>
      </c>
      <c r="I107" s="22">
        <v>3.3139052000000002</v>
      </c>
      <c r="J107" s="5">
        <v>9.8810669999999998</v>
      </c>
      <c r="K107" s="5">
        <v>8.4890600000000003</v>
      </c>
      <c r="L107" s="5">
        <v>29.047516000000002</v>
      </c>
      <c r="M107" s="5">
        <v>54.279170000000001</v>
      </c>
      <c r="N107" s="5">
        <v>27.836338000000001</v>
      </c>
      <c r="O107" s="5">
        <v>47.259433999999999</v>
      </c>
      <c r="P107" s="5">
        <v>49.312976999999997</v>
      </c>
      <c r="Q107" s="5">
        <v>3.4275901000000002</v>
      </c>
      <c r="R107" s="23" t="s">
        <v>157</v>
      </c>
      <c r="S107" s="20">
        <v>1143.6500587463399</v>
      </c>
      <c r="T107" s="15" t="str">
        <f t="shared" si="1"/>
        <v>https://weather.covercrop-data.org/daily?lat=35.3569384247937&amp;lon=-81.6468750555114&amp;start=2021-09-28&amp;end=2022-03-04&amp;gddbase=4&amp;gddmin=0&amp;stats=sum(gdd)&amp;output=html</v>
      </c>
    </row>
    <row r="108" spans="1:20" x14ac:dyDescent="0.25">
      <c r="A108" s="6">
        <v>35.356938424793697</v>
      </c>
      <c r="B108" s="3">
        <v>-81.646875055511401</v>
      </c>
      <c r="C108" s="2" t="s">
        <v>57</v>
      </c>
      <c r="D108" s="4">
        <v>44467</v>
      </c>
      <c r="E108" s="4">
        <v>44624</v>
      </c>
      <c r="F108" s="4" t="s">
        <v>132</v>
      </c>
      <c r="G108" s="2" t="s">
        <v>61</v>
      </c>
      <c r="H108" s="2">
        <v>2</v>
      </c>
      <c r="I108" s="22">
        <v>3.1916739999999999</v>
      </c>
      <c r="J108" s="5">
        <v>9.917313</v>
      </c>
      <c r="K108" s="5">
        <v>8.0822479999999999</v>
      </c>
      <c r="L108" s="5">
        <v>29.911439999999999</v>
      </c>
      <c r="M108" s="5">
        <v>55.976669999999999</v>
      </c>
      <c r="N108" s="5">
        <v>26.750463</v>
      </c>
      <c r="O108" s="5">
        <v>45.421869999999998</v>
      </c>
      <c r="P108" s="5">
        <v>50.806040000000003</v>
      </c>
      <c r="Q108" s="5">
        <v>3.7720883000000001</v>
      </c>
      <c r="R108" s="23" t="s">
        <v>157</v>
      </c>
      <c r="S108" s="20">
        <v>1143.6500587463399</v>
      </c>
      <c r="T108" s="15" t="str">
        <f t="shared" si="1"/>
        <v>https://weather.covercrop-data.org/daily?lat=35.3569384247937&amp;lon=-81.6468750555114&amp;start=2021-09-28&amp;end=2022-03-04&amp;gddbase=4&amp;gddmin=0&amp;stats=sum(gdd)&amp;output=html</v>
      </c>
    </row>
    <row r="109" spans="1:20" x14ac:dyDescent="0.25">
      <c r="A109" s="6">
        <v>35.587154388427699</v>
      </c>
      <c r="B109" s="3">
        <v>-79.076065063476506</v>
      </c>
      <c r="C109" s="2" t="s">
        <v>57</v>
      </c>
      <c r="D109" s="4">
        <v>42993</v>
      </c>
      <c r="E109" s="4">
        <v>43201</v>
      </c>
      <c r="F109" s="4" t="s">
        <v>132</v>
      </c>
      <c r="G109" s="2" t="s">
        <v>58</v>
      </c>
      <c r="H109" s="2">
        <v>1</v>
      </c>
      <c r="I109" s="22">
        <v>2.84</v>
      </c>
      <c r="J109" s="5">
        <v>17.97</v>
      </c>
      <c r="K109" s="5">
        <v>8.91</v>
      </c>
      <c r="L109" s="5">
        <v>25.21</v>
      </c>
      <c r="M109" s="5">
        <v>46.28</v>
      </c>
      <c r="N109" s="5">
        <v>24</v>
      </c>
      <c r="O109" s="5">
        <v>49.19</v>
      </c>
      <c r="P109" s="5">
        <v>45.45</v>
      </c>
      <c r="Q109" s="5">
        <v>5.36</v>
      </c>
      <c r="R109" s="23"/>
      <c r="S109" s="20">
        <v>1701.2700824737501</v>
      </c>
      <c r="T109" s="15" t="str">
        <f t="shared" si="1"/>
        <v>https://weather.covercrop-data.org/daily?lat=35.5871543884277&amp;lon=-79.0760650634765&amp;start=2017-09-15&amp;end=2018-04-11&amp;gddbase=4&amp;gddmin=0&amp;stats=sum(gdd)&amp;output=html</v>
      </c>
    </row>
    <row r="110" spans="1:20" x14ac:dyDescent="0.25">
      <c r="A110" s="6">
        <v>35.587154388427699</v>
      </c>
      <c r="B110" s="3">
        <v>-79.076065063476506</v>
      </c>
      <c r="C110" s="2" t="s">
        <v>57</v>
      </c>
      <c r="D110" s="4">
        <v>42993</v>
      </c>
      <c r="E110" s="4">
        <v>43201</v>
      </c>
      <c r="F110" s="4" t="s">
        <v>132</v>
      </c>
      <c r="G110" s="2" t="s">
        <v>58</v>
      </c>
      <c r="H110" s="2">
        <v>2</v>
      </c>
      <c r="I110" s="22">
        <v>2.8</v>
      </c>
      <c r="J110" s="5">
        <v>19.5</v>
      </c>
      <c r="K110" s="5">
        <v>10.5</v>
      </c>
      <c r="L110" s="5">
        <v>26.2</v>
      </c>
      <c r="M110" s="5">
        <v>46.33</v>
      </c>
      <c r="N110" s="5">
        <v>20.87</v>
      </c>
      <c r="O110" s="5">
        <v>48.23</v>
      </c>
      <c r="P110" s="5">
        <v>45.99</v>
      </c>
      <c r="Q110" s="5">
        <v>5.78</v>
      </c>
      <c r="R110" s="23"/>
      <c r="S110" s="20">
        <v>1701.2700824737501</v>
      </c>
      <c r="T110" s="15" t="str">
        <f t="shared" si="1"/>
        <v>https://weather.covercrop-data.org/daily?lat=35.5871543884277&amp;lon=-79.0760650634765&amp;start=2017-09-15&amp;end=2018-04-11&amp;gddbase=4&amp;gddmin=0&amp;stats=sum(gdd)&amp;output=html</v>
      </c>
    </row>
    <row r="111" spans="1:20" x14ac:dyDescent="0.25">
      <c r="A111" s="6">
        <v>38.791923522949197</v>
      </c>
      <c r="B111" s="3">
        <v>-76.094352722167898</v>
      </c>
      <c r="C111" s="2" t="s">
        <v>57</v>
      </c>
      <c r="D111" s="4">
        <v>42651</v>
      </c>
      <c r="E111" s="4">
        <v>42817</v>
      </c>
      <c r="F111" s="4" t="s">
        <v>139</v>
      </c>
      <c r="G111" s="2" t="s">
        <v>60</v>
      </c>
      <c r="H111" s="2">
        <v>1</v>
      </c>
      <c r="I111" s="22">
        <v>3.14</v>
      </c>
      <c r="J111" s="5">
        <v>11.4</v>
      </c>
      <c r="K111" s="5">
        <v>5.31</v>
      </c>
      <c r="L111" s="5">
        <v>23.69</v>
      </c>
      <c r="M111" s="5">
        <v>36.549999999999997</v>
      </c>
      <c r="N111" s="5">
        <v>46.17</v>
      </c>
      <c r="O111" s="5">
        <v>62.42</v>
      </c>
      <c r="P111" s="5">
        <v>34.9</v>
      </c>
      <c r="Q111" s="5">
        <v>2.68</v>
      </c>
      <c r="R111" s="23"/>
      <c r="S111" s="20">
        <v>716.93518781661999</v>
      </c>
      <c r="T111" s="15" t="str">
        <f t="shared" si="1"/>
        <v>https://weather.covercrop-data.org/daily?lat=38.7919235229492&amp;lon=-76.0943527221679&amp;start=2016-10-08&amp;end=2017-03-23&amp;gddbase=4&amp;gddmin=0&amp;stats=sum(gdd)&amp;output=html</v>
      </c>
    </row>
    <row r="112" spans="1:20" x14ac:dyDescent="0.25">
      <c r="A112" s="6">
        <v>38.791923522949197</v>
      </c>
      <c r="B112" s="3">
        <v>-76.094352722167898</v>
      </c>
      <c r="C112" s="2" t="s">
        <v>57</v>
      </c>
      <c r="D112" s="4">
        <v>42651</v>
      </c>
      <c r="E112" s="4">
        <v>42817</v>
      </c>
      <c r="F112" s="4" t="s">
        <v>139</v>
      </c>
      <c r="G112" s="2" t="s">
        <v>60</v>
      </c>
      <c r="H112" s="2">
        <v>2</v>
      </c>
      <c r="I112" s="22">
        <v>3.27</v>
      </c>
      <c r="J112" s="5">
        <v>12.68</v>
      </c>
      <c r="K112" s="5">
        <v>4.6399999999999997</v>
      </c>
      <c r="L112" s="5">
        <v>22.5</v>
      </c>
      <c r="M112" s="5">
        <v>35.200000000000003</v>
      </c>
      <c r="N112" s="5">
        <v>46.67</v>
      </c>
      <c r="O112" s="5">
        <v>64.02</v>
      </c>
      <c r="P112" s="5">
        <v>33.619999999999997</v>
      </c>
      <c r="Q112" s="5">
        <v>2.36</v>
      </c>
      <c r="R112" s="23"/>
      <c r="S112" s="20">
        <v>716.93518781661999</v>
      </c>
      <c r="T112" s="15" t="str">
        <f t="shared" si="1"/>
        <v>https://weather.covercrop-data.org/daily?lat=38.7919235229492&amp;lon=-76.0943527221679&amp;start=2016-10-08&amp;end=2017-03-23&amp;gddbase=4&amp;gddmin=0&amp;stats=sum(gdd)&amp;output=html</v>
      </c>
    </row>
    <row r="113" spans="1:20" x14ac:dyDescent="0.25">
      <c r="A113" s="6">
        <v>39.737159729003899</v>
      </c>
      <c r="B113" s="3">
        <v>-76.369834899902301</v>
      </c>
      <c r="C113" s="2" t="s">
        <v>57</v>
      </c>
      <c r="D113" s="4">
        <v>43015</v>
      </c>
      <c r="E113" s="4">
        <v>43202</v>
      </c>
      <c r="F113" s="4" t="s">
        <v>144</v>
      </c>
      <c r="G113" s="2" t="s">
        <v>59</v>
      </c>
      <c r="H113" s="2">
        <v>1</v>
      </c>
      <c r="I113" s="22">
        <v>2.96</v>
      </c>
      <c r="J113" s="5">
        <v>21.78</v>
      </c>
      <c r="K113" s="5">
        <v>6.8</v>
      </c>
      <c r="L113" s="5">
        <v>24.83</v>
      </c>
      <c r="M113" s="5">
        <v>43.71</v>
      </c>
      <c r="N113" s="5">
        <v>24.75</v>
      </c>
      <c r="O113" s="5">
        <v>53.1</v>
      </c>
      <c r="P113" s="5">
        <v>42.65</v>
      </c>
      <c r="Q113" s="5">
        <v>4.25</v>
      </c>
      <c r="R113" s="23"/>
      <c r="S113" s="20">
        <v>615.70010232925404</v>
      </c>
      <c r="T113" s="15" t="str">
        <f t="shared" si="1"/>
        <v>https://weather.covercrop-data.org/daily?lat=39.7371597290039&amp;lon=-76.3698348999023&amp;start=2017-10-07&amp;end=2018-04-12&amp;gddbase=4&amp;gddmin=0&amp;stats=sum(gdd)&amp;output=html</v>
      </c>
    </row>
    <row r="114" spans="1:20" x14ac:dyDescent="0.25">
      <c r="A114" s="6">
        <v>39.737159729003899</v>
      </c>
      <c r="B114" s="3">
        <v>-76.369834899902301</v>
      </c>
      <c r="C114" s="2" t="s">
        <v>57</v>
      </c>
      <c r="D114" s="4">
        <v>43015</v>
      </c>
      <c r="E114" s="4">
        <v>43202</v>
      </c>
      <c r="F114" s="4" t="s">
        <v>144</v>
      </c>
      <c r="G114" s="2" t="s">
        <v>59</v>
      </c>
      <c r="H114" s="2">
        <v>2</v>
      </c>
      <c r="I114" s="22">
        <v>3.18</v>
      </c>
      <c r="J114" s="5">
        <v>19.079999999999998</v>
      </c>
      <c r="K114" s="5">
        <v>7.66</v>
      </c>
      <c r="L114" s="5">
        <v>22.22</v>
      </c>
      <c r="M114" s="5">
        <v>41.21</v>
      </c>
      <c r="N114" s="5">
        <v>28.87</v>
      </c>
      <c r="O114" s="5">
        <v>55.37</v>
      </c>
      <c r="P114" s="5">
        <v>40.409999999999997</v>
      </c>
      <c r="Q114" s="5">
        <v>4.22</v>
      </c>
      <c r="R114" s="23"/>
      <c r="S114" s="20">
        <v>615.70010232925404</v>
      </c>
      <c r="T114" s="15" t="str">
        <f t="shared" si="1"/>
        <v>https://weather.covercrop-data.org/daily?lat=39.7371597290039&amp;lon=-76.3698348999023&amp;start=2017-10-07&amp;end=2018-04-12&amp;gddbase=4&amp;gddmin=0&amp;stats=sum(gdd)&amp;output=html</v>
      </c>
    </row>
    <row r="115" spans="1:20" x14ac:dyDescent="0.25">
      <c r="A115" s="6">
        <v>31.352289199829102</v>
      </c>
      <c r="B115" s="3">
        <v>-85.479331970214801</v>
      </c>
      <c r="C115" s="2" t="s">
        <v>62</v>
      </c>
      <c r="D115" s="4">
        <v>43405</v>
      </c>
      <c r="E115" s="4">
        <v>43543</v>
      </c>
      <c r="F115" s="4" t="s">
        <v>136</v>
      </c>
      <c r="G115" s="2" t="s">
        <v>64</v>
      </c>
      <c r="H115" s="2">
        <v>1</v>
      </c>
      <c r="I115" s="22">
        <v>2.48</v>
      </c>
      <c r="J115" s="5">
        <v>10.6</v>
      </c>
      <c r="K115" s="5">
        <v>6.42</v>
      </c>
      <c r="L115" s="5">
        <v>32.28</v>
      </c>
      <c r="M115" s="5">
        <v>58.39</v>
      </c>
      <c r="N115" s="5">
        <v>22.11</v>
      </c>
      <c r="O115" s="5">
        <v>37.6</v>
      </c>
      <c r="P115" s="5">
        <v>56.72</v>
      </c>
      <c r="Q115" s="5">
        <v>5.67</v>
      </c>
      <c r="R115" s="23"/>
      <c r="S115" s="20">
        <v>1299.07506275177</v>
      </c>
      <c r="T115" s="15" t="str">
        <f t="shared" si="1"/>
        <v>https://weather.covercrop-data.org/daily?lat=31.3522891998291&amp;lon=-85.4793319702148&amp;start=2018-11-01&amp;end=2019-03-19&amp;gddbase=4&amp;gddmin=0&amp;stats=sum(gdd)&amp;output=html</v>
      </c>
    </row>
    <row r="116" spans="1:20" x14ac:dyDescent="0.25">
      <c r="A116" s="6">
        <v>31.352289199829102</v>
      </c>
      <c r="B116" s="3">
        <v>-85.479331970214801</v>
      </c>
      <c r="C116" s="2" t="s">
        <v>62</v>
      </c>
      <c r="D116" s="4">
        <v>43405</v>
      </c>
      <c r="E116" s="4">
        <v>43543</v>
      </c>
      <c r="F116" s="4" t="s">
        <v>136</v>
      </c>
      <c r="G116" s="2" t="s">
        <v>64</v>
      </c>
      <c r="H116" s="2">
        <v>2</v>
      </c>
      <c r="I116" s="22">
        <v>2.36</v>
      </c>
      <c r="J116" s="5">
        <v>9.0500000000000007</v>
      </c>
      <c r="K116" s="5">
        <v>6.24</v>
      </c>
      <c r="L116" s="5">
        <v>34.590000000000003</v>
      </c>
      <c r="M116" s="5">
        <v>61.13</v>
      </c>
      <c r="N116" s="5">
        <v>21.22</v>
      </c>
      <c r="O116" s="5">
        <v>34.799999999999997</v>
      </c>
      <c r="P116" s="5">
        <v>59.61</v>
      </c>
      <c r="Q116" s="5">
        <v>5.59</v>
      </c>
      <c r="R116" s="23"/>
      <c r="S116" s="20">
        <v>1299.07506275177</v>
      </c>
      <c r="T116" s="15" t="str">
        <f t="shared" si="1"/>
        <v>https://weather.covercrop-data.org/daily?lat=31.3522891998291&amp;lon=-85.4793319702148&amp;start=2018-11-01&amp;end=2019-03-19&amp;gddbase=4&amp;gddmin=0&amp;stats=sum(gdd)&amp;output=html</v>
      </c>
    </row>
    <row r="117" spans="1:20" x14ac:dyDescent="0.25">
      <c r="A117" s="6">
        <v>35.340183258056598</v>
      </c>
      <c r="B117" s="3">
        <v>-80.322677612304602</v>
      </c>
      <c r="C117" s="2" t="s">
        <v>62</v>
      </c>
      <c r="D117" s="4">
        <v>42702</v>
      </c>
      <c r="E117" s="4">
        <v>42839</v>
      </c>
      <c r="F117" s="4" t="s">
        <v>132</v>
      </c>
      <c r="G117" s="2" t="s">
        <v>63</v>
      </c>
      <c r="H117" s="2">
        <v>1</v>
      </c>
      <c r="I117" s="22">
        <v>2.27</v>
      </c>
      <c r="J117" s="5">
        <v>11.49</v>
      </c>
      <c r="K117" s="5">
        <v>6.99</v>
      </c>
      <c r="L117" s="5">
        <v>43.7</v>
      </c>
      <c r="M117" s="5">
        <v>68.09</v>
      </c>
      <c r="N117" s="5">
        <v>15.93</v>
      </c>
      <c r="O117" s="5">
        <v>30.36</v>
      </c>
      <c r="P117" s="5">
        <v>66.2</v>
      </c>
      <c r="Q117" s="5">
        <v>3.44</v>
      </c>
      <c r="R117" s="23"/>
      <c r="S117" s="20">
        <v>951.86506986617997</v>
      </c>
      <c r="T117" s="15" t="str">
        <f t="shared" si="1"/>
        <v>https://weather.covercrop-data.org/daily?lat=35.3401832580566&amp;lon=-80.3226776123046&amp;start=2016-11-28&amp;end=2017-04-14&amp;gddbase=4&amp;gddmin=0&amp;stats=sum(gdd)&amp;output=html</v>
      </c>
    </row>
    <row r="118" spans="1:20" x14ac:dyDescent="0.25">
      <c r="A118" s="6">
        <v>35.340183258056598</v>
      </c>
      <c r="B118" s="3">
        <v>-80.322677612304602</v>
      </c>
      <c r="C118" s="2" t="s">
        <v>62</v>
      </c>
      <c r="D118" s="4">
        <v>42702</v>
      </c>
      <c r="E118" s="4">
        <v>42839</v>
      </c>
      <c r="F118" s="4" t="s">
        <v>132</v>
      </c>
      <c r="G118" s="2" t="s">
        <v>63</v>
      </c>
      <c r="H118" s="2">
        <v>2</v>
      </c>
      <c r="I118" s="22">
        <v>2.2000000000000002</v>
      </c>
      <c r="J118" s="5">
        <v>11.08</v>
      </c>
      <c r="K118" s="5">
        <v>6.86</v>
      </c>
      <c r="L118" s="5">
        <v>43.33</v>
      </c>
      <c r="M118" s="5">
        <v>68.63</v>
      </c>
      <c r="N118" s="5">
        <v>16.04</v>
      </c>
      <c r="O118" s="5">
        <v>29.93</v>
      </c>
      <c r="P118" s="5">
        <v>66.239999999999995</v>
      </c>
      <c r="Q118" s="5">
        <v>3.83</v>
      </c>
      <c r="R118" s="23"/>
      <c r="S118" s="20">
        <v>951.86506986617997</v>
      </c>
      <c r="T118" s="15" t="str">
        <f t="shared" si="1"/>
        <v>https://weather.covercrop-data.org/daily?lat=35.3401832580566&amp;lon=-80.3226776123046&amp;start=2016-11-28&amp;end=2017-04-14&amp;gddbase=4&amp;gddmin=0&amp;stats=sum(gdd)&amp;output=html</v>
      </c>
    </row>
    <row r="119" spans="1:20" x14ac:dyDescent="0.25">
      <c r="A119" s="6">
        <v>39.335857391357401</v>
      </c>
      <c r="B119" s="3">
        <v>-96.436729431152301</v>
      </c>
      <c r="C119" s="2" t="s">
        <v>62</v>
      </c>
      <c r="D119" s="4">
        <v>44118</v>
      </c>
      <c r="E119" s="4">
        <v>44342</v>
      </c>
      <c r="F119" s="4" t="s">
        <v>141</v>
      </c>
      <c r="G119" s="2" t="s">
        <v>65</v>
      </c>
      <c r="H119" s="2">
        <v>1</v>
      </c>
      <c r="I119" s="22">
        <v>2.4641106000000002</v>
      </c>
      <c r="J119" s="5">
        <v>7.2652163999999999</v>
      </c>
      <c r="K119" s="5">
        <v>7.3822254999999997</v>
      </c>
      <c r="L119" s="5">
        <v>40.891055999999999</v>
      </c>
      <c r="M119" s="5">
        <v>68.377494999999996</v>
      </c>
      <c r="N119" s="5">
        <v>19.297377000000001</v>
      </c>
      <c r="O119" s="5">
        <v>29.800260000000002</v>
      </c>
      <c r="P119" s="5">
        <v>65.886690000000002</v>
      </c>
      <c r="Q119" s="5">
        <v>4.3130493000000003</v>
      </c>
      <c r="R119" s="23" t="s">
        <v>150</v>
      </c>
      <c r="S119" s="20">
        <v>1139.7950167655899</v>
      </c>
      <c r="T119" s="15" t="str">
        <f t="shared" si="1"/>
        <v>https://weather.covercrop-data.org/daily?lat=39.3358573913574&amp;lon=-96.4367294311523&amp;start=2020-10-14&amp;end=2021-05-26&amp;gddbase=4&amp;gddmin=0&amp;stats=sum(gdd)&amp;output=html</v>
      </c>
    </row>
    <row r="120" spans="1:20" x14ac:dyDescent="0.25">
      <c r="A120" s="6">
        <v>39.335857391357401</v>
      </c>
      <c r="B120" s="3">
        <v>-96.436729431152301</v>
      </c>
      <c r="C120" s="2" t="s">
        <v>62</v>
      </c>
      <c r="D120" s="4">
        <v>44118</v>
      </c>
      <c r="E120" s="4">
        <v>44342</v>
      </c>
      <c r="F120" s="4" t="s">
        <v>141</v>
      </c>
      <c r="G120" s="2" t="s">
        <v>65</v>
      </c>
      <c r="H120" s="2">
        <v>2</v>
      </c>
      <c r="I120" s="22">
        <v>2.1935654000000002</v>
      </c>
      <c r="J120" s="5">
        <v>6.6386604</v>
      </c>
      <c r="K120" s="5">
        <v>7.8021529999999997</v>
      </c>
      <c r="L120" s="5">
        <v>39.524883000000003</v>
      </c>
      <c r="M120" s="5">
        <v>67.054209999999998</v>
      </c>
      <c r="N120" s="5">
        <v>21.005209000000001</v>
      </c>
      <c r="O120" s="5">
        <v>30.794643000000001</v>
      </c>
      <c r="P120" s="5">
        <v>65.519990000000007</v>
      </c>
      <c r="Q120" s="5">
        <v>3.6853657000000002</v>
      </c>
      <c r="R120" s="23" t="s">
        <v>150</v>
      </c>
      <c r="S120" s="20">
        <v>1139.7950167655899</v>
      </c>
      <c r="T120" s="15" t="str">
        <f t="shared" si="1"/>
        <v>https://weather.covercrop-data.org/daily?lat=39.3358573913574&amp;lon=-96.4367294311523&amp;start=2020-10-14&amp;end=2021-05-26&amp;gddbase=4&amp;gddmin=0&amp;stats=sum(gdd)&amp;output=html</v>
      </c>
    </row>
    <row r="121" spans="1:20" x14ac:dyDescent="0.25">
      <c r="A121" s="6">
        <v>34.560791000000002</v>
      </c>
      <c r="B121" s="3">
        <v>-83.022958000000003</v>
      </c>
      <c r="C121" s="2" t="s">
        <v>66</v>
      </c>
      <c r="D121" s="4">
        <v>44508</v>
      </c>
      <c r="E121" s="4">
        <v>44691</v>
      </c>
      <c r="F121" s="4" t="s">
        <v>137</v>
      </c>
      <c r="G121" s="2" t="s">
        <v>93</v>
      </c>
      <c r="H121" s="2">
        <v>1</v>
      </c>
      <c r="I121" s="22">
        <v>1.8560536999999999</v>
      </c>
      <c r="J121" s="5">
        <v>5.14412</v>
      </c>
      <c r="K121" s="5">
        <v>3.6187854000000002</v>
      </c>
      <c r="L121" s="5">
        <v>36.463659999999997</v>
      </c>
      <c r="M121" s="5">
        <v>61.546123999999999</v>
      </c>
      <c r="N121" s="5">
        <v>32.143146999999999</v>
      </c>
      <c r="O121" s="5">
        <v>40.324565999999997</v>
      </c>
      <c r="P121" s="5">
        <v>54.628757</v>
      </c>
      <c r="Q121" s="5">
        <v>5.0466765999999996</v>
      </c>
      <c r="R121" s="23" t="s">
        <v>150</v>
      </c>
      <c r="S121" s="20">
        <v>1430.8651108741799</v>
      </c>
      <c r="T121" s="15" t="str">
        <f t="shared" si="1"/>
        <v>https://weather.covercrop-data.org/daily?lat=34.560791&amp;lon=-83.022958&amp;start=2021-11-08&amp;end=2022-05-10&amp;gddbase=4&amp;gddmin=0&amp;stats=sum(gdd)&amp;output=html</v>
      </c>
    </row>
    <row r="122" spans="1:20" x14ac:dyDescent="0.25">
      <c r="A122" s="6">
        <v>34.560791000000002</v>
      </c>
      <c r="B122" s="3">
        <v>-83.022958000000003</v>
      </c>
      <c r="C122" s="2" t="s">
        <v>66</v>
      </c>
      <c r="D122" s="4">
        <v>44508</v>
      </c>
      <c r="E122" s="4">
        <v>44691</v>
      </c>
      <c r="F122" s="4" t="s">
        <v>137</v>
      </c>
      <c r="G122" s="2" t="s">
        <v>93</v>
      </c>
      <c r="H122" s="2">
        <v>2</v>
      </c>
      <c r="I122" s="22">
        <v>2.0223985</v>
      </c>
      <c r="J122" s="5">
        <v>6.5835299999999997</v>
      </c>
      <c r="K122" s="5">
        <v>4.1965475000000003</v>
      </c>
      <c r="L122" s="5">
        <v>37.237533999999997</v>
      </c>
      <c r="M122" s="5">
        <v>61.072902999999997</v>
      </c>
      <c r="N122" s="5">
        <v>30.399725</v>
      </c>
      <c r="O122" s="5">
        <v>40.680889999999998</v>
      </c>
      <c r="P122" s="5">
        <v>53.718110000000003</v>
      </c>
      <c r="Q122" s="5">
        <v>5.6010036000000003</v>
      </c>
      <c r="R122" s="23" t="s">
        <v>150</v>
      </c>
      <c r="S122" s="20">
        <v>1430.8651108741799</v>
      </c>
      <c r="T122" s="15" t="str">
        <f t="shared" si="1"/>
        <v>https://weather.covercrop-data.org/daily?lat=34.560791&amp;lon=-83.022958&amp;start=2021-11-08&amp;end=2022-05-10&amp;gddbase=4&amp;gddmin=0&amp;stats=sum(gdd)&amp;output=html</v>
      </c>
    </row>
    <row r="123" spans="1:20" x14ac:dyDescent="0.25">
      <c r="A123" s="6">
        <v>35.306130584041099</v>
      </c>
      <c r="B123" s="3">
        <v>-80.343047293406698</v>
      </c>
      <c r="C123" s="2" t="s">
        <v>66</v>
      </c>
      <c r="D123" s="4">
        <v>44504</v>
      </c>
      <c r="E123" s="4">
        <v>44658</v>
      </c>
      <c r="F123" s="4" t="s">
        <v>132</v>
      </c>
      <c r="G123" s="2" t="s">
        <v>68</v>
      </c>
      <c r="H123" s="2">
        <v>1</v>
      </c>
      <c r="I123" s="22">
        <v>1.6931387</v>
      </c>
      <c r="J123" s="5">
        <v>7.3911579999999999</v>
      </c>
      <c r="K123" s="5">
        <v>6.1876264000000001</v>
      </c>
      <c r="L123" s="5">
        <v>34.344127999999998</v>
      </c>
      <c r="M123" s="5">
        <v>59.136400000000002</v>
      </c>
      <c r="N123" s="5">
        <v>29.731225999999999</v>
      </c>
      <c r="O123" s="5">
        <v>42.299156000000004</v>
      </c>
      <c r="P123" s="5">
        <v>54.683014</v>
      </c>
      <c r="Q123" s="5">
        <v>3.0178281999999998</v>
      </c>
      <c r="R123" s="23" t="s">
        <v>157</v>
      </c>
      <c r="S123" s="20">
        <v>938.63004159927402</v>
      </c>
      <c r="T123" s="15" t="str">
        <f t="shared" si="1"/>
        <v>https://weather.covercrop-data.org/daily?lat=35.3061305840411&amp;lon=-80.3430472934067&amp;start=2021-11-04&amp;end=2022-04-07&amp;gddbase=4&amp;gddmin=0&amp;stats=sum(gdd)&amp;output=html</v>
      </c>
    </row>
    <row r="124" spans="1:20" x14ac:dyDescent="0.25">
      <c r="A124" s="6">
        <v>35.306130584041099</v>
      </c>
      <c r="B124" s="3">
        <v>-80.343047293406698</v>
      </c>
      <c r="C124" s="2" t="s">
        <v>66</v>
      </c>
      <c r="D124" s="4">
        <v>44504</v>
      </c>
      <c r="E124" s="4">
        <v>44658</v>
      </c>
      <c r="F124" s="4" t="s">
        <v>132</v>
      </c>
      <c r="G124" s="2" t="s">
        <v>68</v>
      </c>
      <c r="H124" s="2">
        <v>2</v>
      </c>
      <c r="I124" s="22">
        <v>1.4042574999999999</v>
      </c>
      <c r="J124" s="5">
        <v>9.2365659999999998</v>
      </c>
      <c r="K124" s="5">
        <v>3.3769521999999998</v>
      </c>
      <c r="L124" s="5">
        <v>34.875450000000001</v>
      </c>
      <c r="M124" s="5">
        <v>59.082619999999999</v>
      </c>
      <c r="N124" s="5">
        <v>31.035388999999999</v>
      </c>
      <c r="O124" s="5">
        <v>42.796680000000002</v>
      </c>
      <c r="P124" s="5">
        <v>53.698523999999999</v>
      </c>
      <c r="Q124" s="5">
        <v>3.5047929999999998</v>
      </c>
      <c r="R124" s="23" t="s">
        <v>157</v>
      </c>
      <c r="S124" s="20">
        <v>938.63004159927402</v>
      </c>
      <c r="T124" s="15" t="str">
        <f t="shared" si="1"/>
        <v>https://weather.covercrop-data.org/daily?lat=35.3061305840411&amp;lon=-80.3430472934067&amp;start=2021-11-04&amp;end=2022-04-07&amp;gddbase=4&amp;gddmin=0&amp;stats=sum(gdd)&amp;output=html</v>
      </c>
    </row>
    <row r="125" spans="1:20" x14ac:dyDescent="0.25">
      <c r="A125" s="6">
        <v>36.248298645019503</v>
      </c>
      <c r="B125" s="3">
        <v>-76.550354003906193</v>
      </c>
      <c r="C125" s="2" t="s">
        <v>66</v>
      </c>
      <c r="D125" s="4">
        <v>44140</v>
      </c>
      <c r="E125" s="4">
        <v>44293</v>
      </c>
      <c r="F125" s="4" t="s">
        <v>132</v>
      </c>
      <c r="G125" s="2" t="s">
        <v>73</v>
      </c>
      <c r="H125" s="2">
        <v>1</v>
      </c>
      <c r="I125" s="22">
        <v>3.0676975</v>
      </c>
      <c r="J125" s="5">
        <v>11.821930999999999</v>
      </c>
      <c r="K125" s="5">
        <v>5.3958449999999996</v>
      </c>
      <c r="L125" s="5">
        <v>23.59919</v>
      </c>
      <c r="M125" s="5">
        <v>41.472836000000001</v>
      </c>
      <c r="N125" s="5">
        <v>41.14479</v>
      </c>
      <c r="O125" s="5">
        <v>57.466923000000001</v>
      </c>
      <c r="P125" s="5">
        <v>40.446156000000002</v>
      </c>
      <c r="Q125" s="5">
        <v>2.0869230000000001</v>
      </c>
      <c r="R125" s="23" t="s">
        <v>152</v>
      </c>
      <c r="S125" s="20">
        <v>812.89505863189697</v>
      </c>
      <c r="T125" s="15" t="str">
        <f t="shared" si="1"/>
        <v>https://weather.covercrop-data.org/daily?lat=36.2482986450195&amp;lon=-76.5503540039062&amp;start=2020-11-05&amp;end=2021-04-07&amp;gddbase=4&amp;gddmin=0&amp;stats=sum(gdd)&amp;output=html</v>
      </c>
    </row>
    <row r="126" spans="1:20" x14ac:dyDescent="0.25">
      <c r="A126" s="6">
        <v>36.248298645019503</v>
      </c>
      <c r="B126" s="3">
        <v>-76.550354003906193</v>
      </c>
      <c r="C126" s="2" t="s">
        <v>66</v>
      </c>
      <c r="D126" s="4">
        <v>44140</v>
      </c>
      <c r="E126" s="4">
        <v>44293</v>
      </c>
      <c r="F126" s="4" t="s">
        <v>132</v>
      </c>
      <c r="G126" s="2" t="s">
        <v>73</v>
      </c>
      <c r="H126" s="2">
        <v>2</v>
      </c>
      <c r="I126" s="22">
        <v>2.9643280000000001</v>
      </c>
      <c r="J126" s="5">
        <v>12.035053</v>
      </c>
      <c r="K126" s="5">
        <v>6.1610636999999997</v>
      </c>
      <c r="L126" s="5">
        <v>25.17013</v>
      </c>
      <c r="M126" s="5">
        <v>44.372100000000003</v>
      </c>
      <c r="N126" s="5">
        <v>37.573500000000003</v>
      </c>
      <c r="O126" s="5">
        <v>54.229607000000001</v>
      </c>
      <c r="P126" s="5">
        <v>43.65551</v>
      </c>
      <c r="Q126" s="5">
        <v>2.1148826999999999</v>
      </c>
      <c r="R126" s="23" t="s">
        <v>152</v>
      </c>
      <c r="S126" s="20">
        <v>812.89505863189697</v>
      </c>
      <c r="T126" s="15" t="str">
        <f t="shared" si="1"/>
        <v>https://weather.covercrop-data.org/daily?lat=36.2482986450195&amp;lon=-76.5503540039062&amp;start=2020-11-05&amp;end=2021-04-07&amp;gddbase=4&amp;gddmin=0&amp;stats=sum(gdd)&amp;output=html</v>
      </c>
    </row>
    <row r="127" spans="1:20" x14ac:dyDescent="0.25">
      <c r="A127" s="6">
        <v>36.271295309816999</v>
      </c>
      <c r="B127" s="3">
        <v>-76.536453288752995</v>
      </c>
      <c r="C127" s="2" t="s">
        <v>66</v>
      </c>
      <c r="D127" s="4">
        <v>44140</v>
      </c>
      <c r="E127" s="4">
        <v>44290</v>
      </c>
      <c r="F127" s="4" t="s">
        <v>132</v>
      </c>
      <c r="G127" s="2" t="s">
        <v>80</v>
      </c>
      <c r="H127" s="2">
        <v>1</v>
      </c>
      <c r="I127" s="22">
        <v>3.0893000000000002</v>
      </c>
      <c r="J127" s="5">
        <v>9.2141889999999993</v>
      </c>
      <c r="K127" s="5">
        <v>6.4977739999999997</v>
      </c>
      <c r="L127" s="5">
        <v>23.717563999999999</v>
      </c>
      <c r="M127" s="5">
        <v>38.821480000000001</v>
      </c>
      <c r="N127" s="5">
        <v>45.094760000000001</v>
      </c>
      <c r="O127" s="5">
        <v>59.653305000000003</v>
      </c>
      <c r="P127" s="5">
        <v>38.253951999999998</v>
      </c>
      <c r="Q127" s="5">
        <v>2.0927414999999998</v>
      </c>
      <c r="R127" s="23"/>
      <c r="S127" s="20">
        <v>753.68005800247204</v>
      </c>
      <c r="T127" s="15" t="str">
        <f t="shared" si="1"/>
        <v>https://weather.covercrop-data.org/daily?lat=36.271295309817&amp;lon=-76.536453288753&amp;start=2020-11-05&amp;end=2021-04-04&amp;gddbase=4&amp;gddmin=0&amp;stats=sum(gdd)&amp;output=html</v>
      </c>
    </row>
    <row r="128" spans="1:20" x14ac:dyDescent="0.25">
      <c r="A128" s="6">
        <v>36.271295309816999</v>
      </c>
      <c r="B128" s="3">
        <v>-76.536453288752995</v>
      </c>
      <c r="C128" s="2" t="s">
        <v>66</v>
      </c>
      <c r="D128" s="4">
        <v>44140</v>
      </c>
      <c r="E128" s="4">
        <v>44290</v>
      </c>
      <c r="F128" s="4" t="s">
        <v>132</v>
      </c>
      <c r="G128" s="2" t="s">
        <v>80</v>
      </c>
      <c r="H128" s="2">
        <v>2</v>
      </c>
      <c r="I128" s="22">
        <v>3.1481493</v>
      </c>
      <c r="J128" s="5">
        <v>10.062754</v>
      </c>
      <c r="K128" s="5">
        <v>6.7419386000000001</v>
      </c>
      <c r="L128" s="5">
        <v>23.529637999999998</v>
      </c>
      <c r="M128" s="5">
        <v>38.201965000000001</v>
      </c>
      <c r="N128" s="5">
        <v>44.519329999999997</v>
      </c>
      <c r="O128" s="5">
        <v>60.178159999999998</v>
      </c>
      <c r="P128" s="5">
        <v>37.863323000000001</v>
      </c>
      <c r="Q128" s="5">
        <v>1.9585153</v>
      </c>
      <c r="R128" s="23"/>
      <c r="S128" s="20">
        <v>753.68005800247204</v>
      </c>
      <c r="T128" s="15" t="str">
        <f t="shared" si="1"/>
        <v>https://weather.covercrop-data.org/daily?lat=36.271295309817&amp;lon=-76.536453288753&amp;start=2020-11-05&amp;end=2021-04-04&amp;gddbase=4&amp;gddmin=0&amp;stats=sum(gdd)&amp;output=html</v>
      </c>
    </row>
    <row r="129" spans="1:20" x14ac:dyDescent="0.25">
      <c r="A129" s="6">
        <v>37.055702209472599</v>
      </c>
      <c r="B129" s="3">
        <v>-78.059181213378906</v>
      </c>
      <c r="C129" s="2" t="s">
        <v>66</v>
      </c>
      <c r="D129" s="4">
        <v>44075</v>
      </c>
      <c r="E129" s="4">
        <v>44282</v>
      </c>
      <c r="F129" s="4" t="s">
        <v>133</v>
      </c>
      <c r="G129" s="2" t="s">
        <v>86</v>
      </c>
      <c r="H129" s="2">
        <v>1</v>
      </c>
      <c r="I129" s="22">
        <v>2.8741425999999999</v>
      </c>
      <c r="J129" s="5">
        <v>13.039626</v>
      </c>
      <c r="K129" s="5">
        <v>6.8110023000000002</v>
      </c>
      <c r="L129" s="5">
        <v>21.126528</v>
      </c>
      <c r="M129" s="5">
        <v>37.936134000000003</v>
      </c>
      <c r="N129" s="5">
        <v>41.994624999999999</v>
      </c>
      <c r="O129" s="5">
        <v>60.419089999999997</v>
      </c>
      <c r="P129" s="5">
        <v>37.646675000000002</v>
      </c>
      <c r="Q129" s="5">
        <v>1.9342332</v>
      </c>
      <c r="R129" s="23" t="s">
        <v>152</v>
      </c>
      <c r="S129" s="20">
        <v>1497.8450655937199</v>
      </c>
      <c r="T129" s="15" t="str">
        <f t="shared" si="1"/>
        <v>https://weather.covercrop-data.org/daily?lat=37.0557022094726&amp;lon=-78.0591812133789&amp;start=2020-09-01&amp;end=2021-03-27&amp;gddbase=4&amp;gddmin=0&amp;stats=sum(gdd)&amp;output=html</v>
      </c>
    </row>
    <row r="130" spans="1:20" x14ac:dyDescent="0.25">
      <c r="A130" s="6">
        <v>37.055702209472599</v>
      </c>
      <c r="B130" s="3">
        <v>-78.059181213378906</v>
      </c>
      <c r="C130" s="2" t="s">
        <v>66</v>
      </c>
      <c r="D130" s="4">
        <v>44075</v>
      </c>
      <c r="E130" s="4">
        <v>44282</v>
      </c>
      <c r="F130" s="4" t="s">
        <v>133</v>
      </c>
      <c r="G130" s="2" t="s">
        <v>69</v>
      </c>
      <c r="H130" s="2">
        <v>1</v>
      </c>
      <c r="I130" s="22">
        <v>3.0318033999999998</v>
      </c>
      <c r="J130" s="5">
        <v>16.499683000000001</v>
      </c>
      <c r="K130" s="5">
        <v>9.2642530000000001</v>
      </c>
      <c r="L130" s="5">
        <v>20.817672999999999</v>
      </c>
      <c r="M130" s="5">
        <v>37.325726000000003</v>
      </c>
      <c r="N130" s="5">
        <v>36.491337000000001</v>
      </c>
      <c r="O130" s="5">
        <v>60.014668</v>
      </c>
      <c r="P130" s="5">
        <v>38.084693999999999</v>
      </c>
      <c r="Q130" s="5">
        <v>1.900638</v>
      </c>
      <c r="R130" s="23" t="s">
        <v>152</v>
      </c>
      <c r="S130" s="20">
        <v>1497.8450655937199</v>
      </c>
      <c r="T130" s="15" t="str">
        <f t="shared" si="1"/>
        <v>https://weather.covercrop-data.org/daily?lat=37.0557022094726&amp;lon=-78.0591812133789&amp;start=2020-09-01&amp;end=2021-03-27&amp;gddbase=4&amp;gddmin=0&amp;stats=sum(gdd)&amp;output=html</v>
      </c>
    </row>
    <row r="131" spans="1:20" x14ac:dyDescent="0.25">
      <c r="A131" s="6">
        <v>37.055702209472599</v>
      </c>
      <c r="B131" s="3">
        <v>-78.059181213378906</v>
      </c>
      <c r="C131" s="2" t="s">
        <v>66</v>
      </c>
      <c r="D131" s="4">
        <v>44075</v>
      </c>
      <c r="E131" s="4">
        <v>44282</v>
      </c>
      <c r="F131" s="4" t="s">
        <v>133</v>
      </c>
      <c r="G131" s="2" t="s">
        <v>69</v>
      </c>
      <c r="H131" s="2">
        <v>2</v>
      </c>
      <c r="I131" s="22">
        <v>3.0318033999999998</v>
      </c>
      <c r="J131" s="5">
        <v>16.499683000000001</v>
      </c>
      <c r="K131" s="5">
        <v>9.2642530000000001</v>
      </c>
      <c r="L131" s="5">
        <v>20.817672999999999</v>
      </c>
      <c r="M131" s="5">
        <v>37.325726000000003</v>
      </c>
      <c r="N131" s="5">
        <v>36.491337000000001</v>
      </c>
      <c r="O131" s="5">
        <v>60.014668</v>
      </c>
      <c r="P131" s="5">
        <v>38.084693999999999</v>
      </c>
      <c r="Q131" s="5">
        <v>1.900638</v>
      </c>
      <c r="R131" s="23" t="s">
        <v>152</v>
      </c>
      <c r="S131" s="20">
        <v>1497.8450655937199</v>
      </c>
      <c r="T131" s="15" t="str">
        <f t="shared" ref="T131:T180" si="2">"https://weather.covercrop-data.org/daily?lat="&amp;A131&amp;"&amp;lon="&amp;B131&amp;"&amp;start="&amp;TEXT(D131, "yyyy-mm-dd") &amp; "&amp;end="&amp;TEXT(E131, "yyyy-mm-dd")&amp;"&amp;gddbase=4&amp;gddmin=0&amp;stats=sum(gdd)&amp;output=html"</f>
        <v>https://weather.covercrop-data.org/daily?lat=37.0557022094726&amp;lon=-78.0591812133789&amp;start=2020-09-01&amp;end=2021-03-27&amp;gddbase=4&amp;gddmin=0&amp;stats=sum(gdd)&amp;output=html</v>
      </c>
    </row>
    <row r="132" spans="1:20" x14ac:dyDescent="0.25">
      <c r="A132" s="6">
        <v>37.055702209472599</v>
      </c>
      <c r="B132" s="3">
        <v>-78.059181213378906</v>
      </c>
      <c r="C132" s="2" t="s">
        <v>66</v>
      </c>
      <c r="D132" s="4">
        <v>44075</v>
      </c>
      <c r="E132" s="4">
        <v>44282</v>
      </c>
      <c r="F132" s="4" t="s">
        <v>133</v>
      </c>
      <c r="G132" s="2" t="s">
        <v>86</v>
      </c>
      <c r="H132" s="2">
        <v>2</v>
      </c>
      <c r="I132" s="22">
        <v>2.8741425999999999</v>
      </c>
      <c r="J132" s="5">
        <v>13.039626</v>
      </c>
      <c r="K132" s="5">
        <v>6.8110023000000002</v>
      </c>
      <c r="L132" s="5">
        <v>21.126528</v>
      </c>
      <c r="M132" s="5">
        <v>37.936134000000003</v>
      </c>
      <c r="N132" s="5">
        <v>41.994624999999999</v>
      </c>
      <c r="O132" s="5">
        <v>60.419089999999997</v>
      </c>
      <c r="P132" s="5">
        <v>37.646675000000002</v>
      </c>
      <c r="Q132" s="5">
        <v>1.9342332</v>
      </c>
      <c r="R132" s="23" t="s">
        <v>152</v>
      </c>
      <c r="S132" s="20">
        <v>1497.8450655937199</v>
      </c>
      <c r="T132" s="15" t="str">
        <f t="shared" si="2"/>
        <v>https://weather.covercrop-data.org/daily?lat=37.0557022094726&amp;lon=-78.0591812133789&amp;start=2020-09-01&amp;end=2021-03-27&amp;gddbase=4&amp;gddmin=0&amp;stats=sum(gdd)&amp;output=html</v>
      </c>
    </row>
    <row r="133" spans="1:20" x14ac:dyDescent="0.25">
      <c r="A133" s="6">
        <v>37.756293999999997</v>
      </c>
      <c r="B133" s="3">
        <v>-75.608528000000007</v>
      </c>
      <c r="C133" s="2" t="s">
        <v>66</v>
      </c>
      <c r="D133" s="4">
        <v>44508</v>
      </c>
      <c r="E133" s="4">
        <v>44663</v>
      </c>
      <c r="F133" s="4" t="s">
        <v>133</v>
      </c>
      <c r="G133" s="2" t="s">
        <v>95</v>
      </c>
      <c r="H133" s="2">
        <v>1</v>
      </c>
      <c r="I133" s="22">
        <v>2.3352189999999999</v>
      </c>
      <c r="J133" s="5">
        <v>11.283312</v>
      </c>
      <c r="K133" s="5">
        <v>6.3140482999999996</v>
      </c>
      <c r="L133" s="5">
        <v>25.270479999999999</v>
      </c>
      <c r="M133" s="5">
        <v>44.763840000000002</v>
      </c>
      <c r="N133" s="5">
        <v>38.437049999999999</v>
      </c>
      <c r="O133" s="5">
        <v>57.516562999999998</v>
      </c>
      <c r="P133" s="5">
        <v>39.825690000000002</v>
      </c>
      <c r="Q133" s="5">
        <v>2.6577459999999999</v>
      </c>
      <c r="R133" s="23" t="s">
        <v>157</v>
      </c>
      <c r="S133" s="20">
        <v>604.560020446777</v>
      </c>
      <c r="T133" s="15" t="str">
        <f t="shared" si="2"/>
        <v>https://weather.covercrop-data.org/daily?lat=37.756294&amp;lon=-75.608528&amp;start=2021-11-08&amp;end=2022-04-12&amp;gddbase=4&amp;gddmin=0&amp;stats=sum(gdd)&amp;output=html</v>
      </c>
    </row>
    <row r="134" spans="1:20" x14ac:dyDescent="0.25">
      <c r="A134" s="6">
        <v>37.756293999999997</v>
      </c>
      <c r="B134" s="3">
        <v>-75.608528000000007</v>
      </c>
      <c r="C134" s="2" t="s">
        <v>66</v>
      </c>
      <c r="D134" s="4">
        <v>44508</v>
      </c>
      <c r="E134" s="4">
        <v>44663</v>
      </c>
      <c r="F134" s="4" t="s">
        <v>133</v>
      </c>
      <c r="G134" s="2" t="s">
        <v>95</v>
      </c>
      <c r="H134" s="2">
        <v>2</v>
      </c>
      <c r="I134" s="22">
        <v>2.4006409999999998</v>
      </c>
      <c r="J134" s="5">
        <v>11.249119</v>
      </c>
      <c r="K134" s="5">
        <v>6.3184155999999998</v>
      </c>
      <c r="L134" s="5">
        <v>24.311920000000001</v>
      </c>
      <c r="M134" s="5">
        <v>43.827454000000003</v>
      </c>
      <c r="N134" s="5">
        <v>39.272292999999998</v>
      </c>
      <c r="O134" s="5">
        <v>58.521965000000002</v>
      </c>
      <c r="P134" s="5">
        <v>38.843803000000001</v>
      </c>
      <c r="Q134" s="5">
        <v>2.6342310000000002</v>
      </c>
      <c r="R134" s="23" t="s">
        <v>157</v>
      </c>
      <c r="S134" s="20">
        <v>604.560020446777</v>
      </c>
      <c r="T134" s="15" t="str">
        <f t="shared" si="2"/>
        <v>https://weather.covercrop-data.org/daily?lat=37.756294&amp;lon=-75.608528&amp;start=2021-11-08&amp;end=2022-04-12&amp;gddbase=4&amp;gddmin=0&amp;stats=sum(gdd)&amp;output=html</v>
      </c>
    </row>
    <row r="135" spans="1:20" x14ac:dyDescent="0.25">
      <c r="A135" s="6">
        <v>37.795828999999998</v>
      </c>
      <c r="B135" s="3">
        <v>-75.581851</v>
      </c>
      <c r="C135" s="2" t="s">
        <v>66</v>
      </c>
      <c r="D135" s="4">
        <v>44484</v>
      </c>
      <c r="E135" s="4">
        <v>44687</v>
      </c>
      <c r="F135" s="4" t="s">
        <v>133</v>
      </c>
      <c r="G135" s="2" t="s">
        <v>87</v>
      </c>
      <c r="H135" s="2">
        <v>1</v>
      </c>
      <c r="I135" s="22">
        <v>1.2991436000000001</v>
      </c>
      <c r="J135" s="5">
        <v>7.1729383000000002</v>
      </c>
      <c r="K135" s="5">
        <v>1.7481772</v>
      </c>
      <c r="L135" s="5">
        <v>28.490393000000001</v>
      </c>
      <c r="M135" s="5">
        <v>51.783180000000002</v>
      </c>
      <c r="N135" s="5">
        <v>41.621383999999999</v>
      </c>
      <c r="O135" s="5">
        <v>50.029193999999997</v>
      </c>
      <c r="P135" s="5">
        <v>47.536247000000003</v>
      </c>
      <c r="Q135" s="5">
        <v>2.4345598000000002</v>
      </c>
      <c r="R135" s="23" t="s">
        <v>151</v>
      </c>
      <c r="S135" s="20">
        <v>1123.79003715515</v>
      </c>
      <c r="T135" s="15" t="str">
        <f t="shared" si="2"/>
        <v>https://weather.covercrop-data.org/daily?lat=37.795829&amp;lon=-75.581851&amp;start=2021-10-15&amp;end=2022-05-06&amp;gddbase=4&amp;gddmin=0&amp;stats=sum(gdd)&amp;output=html</v>
      </c>
    </row>
    <row r="136" spans="1:20" x14ac:dyDescent="0.25">
      <c r="A136" s="6">
        <v>37.795828999999998</v>
      </c>
      <c r="B136" s="3">
        <v>-75.581851</v>
      </c>
      <c r="C136" s="2" t="s">
        <v>66</v>
      </c>
      <c r="D136" s="4">
        <v>44484</v>
      </c>
      <c r="E136" s="4">
        <v>44687</v>
      </c>
      <c r="F136" s="4" t="s">
        <v>133</v>
      </c>
      <c r="G136" s="2" t="s">
        <v>87</v>
      </c>
      <c r="H136" s="2">
        <v>2</v>
      </c>
      <c r="I136" s="22">
        <v>1.1975933000000001</v>
      </c>
      <c r="J136" s="5">
        <v>7.3365425999999996</v>
      </c>
      <c r="K136" s="5">
        <v>2.70248</v>
      </c>
      <c r="L136" s="5">
        <v>27.935146</v>
      </c>
      <c r="M136" s="5">
        <v>51.498252999999998</v>
      </c>
      <c r="N136" s="5">
        <v>40.870010000000001</v>
      </c>
      <c r="O136" s="5">
        <v>50.309759999999997</v>
      </c>
      <c r="P136" s="5">
        <v>47.871127999999999</v>
      </c>
      <c r="Q136" s="5">
        <v>1.8191086000000001</v>
      </c>
      <c r="R136" s="23" t="s">
        <v>151</v>
      </c>
      <c r="S136" s="20">
        <v>1123.79003715515</v>
      </c>
      <c r="T136" s="15" t="str">
        <f t="shared" si="2"/>
        <v>https://weather.covercrop-data.org/daily?lat=37.795829&amp;lon=-75.581851&amp;start=2021-10-15&amp;end=2022-05-06&amp;gddbase=4&amp;gddmin=0&amp;stats=sum(gdd)&amp;output=html</v>
      </c>
    </row>
    <row r="137" spans="1:20" x14ac:dyDescent="0.25">
      <c r="A137" s="6">
        <v>37.800056457519503</v>
      </c>
      <c r="B137" s="3">
        <v>-75.560371398925696</v>
      </c>
      <c r="C137" s="2" t="s">
        <v>66</v>
      </c>
      <c r="D137" s="4">
        <v>44151</v>
      </c>
      <c r="E137" s="4">
        <v>44330</v>
      </c>
      <c r="F137" s="4" t="s">
        <v>133</v>
      </c>
      <c r="G137" s="2" t="s">
        <v>85</v>
      </c>
      <c r="H137" s="2">
        <v>1</v>
      </c>
      <c r="I137" s="22">
        <v>1.8670685</v>
      </c>
      <c r="J137" s="5">
        <v>7.9398049999999998</v>
      </c>
      <c r="K137" s="5">
        <v>1.3659872</v>
      </c>
      <c r="L137" s="5">
        <v>28.897354</v>
      </c>
      <c r="M137" s="5">
        <v>52.67248</v>
      </c>
      <c r="N137" s="5">
        <v>39.841732</v>
      </c>
      <c r="O137" s="5">
        <v>48.522357999999997</v>
      </c>
      <c r="P137" s="5">
        <v>48.359119999999997</v>
      </c>
      <c r="Q137" s="5">
        <v>3.1185233999999999</v>
      </c>
      <c r="R137" s="23" t="s">
        <v>151</v>
      </c>
      <c r="S137" s="20">
        <v>782.82511663436901</v>
      </c>
      <c r="T137" s="15" t="str">
        <f t="shared" si="2"/>
        <v>https://weather.covercrop-data.org/daily?lat=37.8000564575195&amp;lon=-75.5603713989257&amp;start=2020-11-16&amp;end=2021-05-14&amp;gddbase=4&amp;gddmin=0&amp;stats=sum(gdd)&amp;output=html</v>
      </c>
    </row>
    <row r="138" spans="1:20" x14ac:dyDescent="0.25">
      <c r="A138" s="6">
        <v>37.800056457519503</v>
      </c>
      <c r="B138" s="3">
        <v>-75.560371398925696</v>
      </c>
      <c r="C138" s="2" t="s">
        <v>66</v>
      </c>
      <c r="D138" s="4">
        <v>44151</v>
      </c>
      <c r="E138" s="4">
        <v>44330</v>
      </c>
      <c r="F138" s="4" t="s">
        <v>133</v>
      </c>
      <c r="G138" s="2" t="s">
        <v>85</v>
      </c>
      <c r="H138" s="2">
        <v>2</v>
      </c>
      <c r="I138" s="22">
        <v>2.0939467</v>
      </c>
      <c r="J138" s="5">
        <v>9.1349549999999997</v>
      </c>
      <c r="K138" s="5">
        <v>1.6409043000000001</v>
      </c>
      <c r="L138" s="5">
        <v>28.862772</v>
      </c>
      <c r="M138" s="5">
        <v>54.025730000000003</v>
      </c>
      <c r="N138" s="5">
        <v>36.886265000000002</v>
      </c>
      <c r="O138" s="5">
        <v>47.106662999999998</v>
      </c>
      <c r="P138" s="5">
        <v>49.636499999999998</v>
      </c>
      <c r="Q138" s="5">
        <v>3.2568362</v>
      </c>
      <c r="R138" s="23" t="s">
        <v>151</v>
      </c>
      <c r="S138" s="20">
        <v>782.82511663436901</v>
      </c>
      <c r="T138" s="15" t="str">
        <f t="shared" si="2"/>
        <v>https://weather.covercrop-data.org/daily?lat=37.8000564575195&amp;lon=-75.5603713989257&amp;start=2020-11-16&amp;end=2021-05-14&amp;gddbase=4&amp;gddmin=0&amp;stats=sum(gdd)&amp;output=html</v>
      </c>
    </row>
    <row r="139" spans="1:20" x14ac:dyDescent="0.25">
      <c r="A139" s="6">
        <v>37.882522583007798</v>
      </c>
      <c r="B139" s="3">
        <v>-76.799552917480398</v>
      </c>
      <c r="C139" s="2" t="s">
        <v>66</v>
      </c>
      <c r="D139" s="4">
        <v>44128</v>
      </c>
      <c r="E139" s="4">
        <v>44328</v>
      </c>
      <c r="F139" s="4" t="s">
        <v>133</v>
      </c>
      <c r="G139" s="2" t="s">
        <v>89</v>
      </c>
      <c r="H139" s="2">
        <v>1</v>
      </c>
      <c r="I139" s="22">
        <v>2.026125</v>
      </c>
      <c r="J139" s="5">
        <v>9.7063780000000008</v>
      </c>
      <c r="K139" s="5">
        <v>3.0827925</v>
      </c>
      <c r="L139" s="5">
        <v>28.396158</v>
      </c>
      <c r="M139" s="5">
        <v>50.916114999999998</v>
      </c>
      <c r="N139" s="5">
        <v>37.832718</v>
      </c>
      <c r="O139" s="5">
        <v>49.32779</v>
      </c>
      <c r="P139" s="5">
        <v>47.397170000000003</v>
      </c>
      <c r="Q139" s="5">
        <v>3.2750385</v>
      </c>
      <c r="R139" s="23" t="s">
        <v>151</v>
      </c>
      <c r="S139" s="20">
        <v>1056.8351082801801</v>
      </c>
      <c r="T139" s="15" t="str">
        <f t="shared" si="2"/>
        <v>https://weather.covercrop-data.org/daily?lat=37.8825225830078&amp;lon=-76.7995529174804&amp;start=2020-10-24&amp;end=2021-05-12&amp;gddbase=4&amp;gddmin=0&amp;stats=sum(gdd)&amp;output=html</v>
      </c>
    </row>
    <row r="140" spans="1:20" x14ac:dyDescent="0.25">
      <c r="A140" s="6">
        <v>37.882522583007798</v>
      </c>
      <c r="B140" s="3">
        <v>-76.799552917480398</v>
      </c>
      <c r="C140" s="2" t="s">
        <v>66</v>
      </c>
      <c r="D140" s="4">
        <v>44128</v>
      </c>
      <c r="E140" s="4">
        <v>44328</v>
      </c>
      <c r="F140" s="4" t="s">
        <v>133</v>
      </c>
      <c r="G140" s="2" t="s">
        <v>89</v>
      </c>
      <c r="H140" s="2">
        <v>2</v>
      </c>
      <c r="I140" s="22">
        <v>1.7883020000000001</v>
      </c>
      <c r="J140" s="5">
        <v>9.1501730000000006</v>
      </c>
      <c r="K140" s="5">
        <v>3.1169562000000002</v>
      </c>
      <c r="L140" s="5">
        <v>29.848251000000001</v>
      </c>
      <c r="M140" s="5">
        <v>53.092236</v>
      </c>
      <c r="N140" s="5">
        <v>36.56879</v>
      </c>
      <c r="O140" s="5">
        <v>47.224155000000003</v>
      </c>
      <c r="P140" s="5">
        <v>49.323376000000003</v>
      </c>
      <c r="Q140" s="5">
        <v>3.4524689999999998</v>
      </c>
      <c r="R140" s="23" t="s">
        <v>151</v>
      </c>
      <c r="S140" s="20">
        <v>1056.8351082801801</v>
      </c>
      <c r="T140" s="15" t="str">
        <f t="shared" si="2"/>
        <v>https://weather.covercrop-data.org/daily?lat=37.8825225830078&amp;lon=-76.7995529174804&amp;start=2020-10-24&amp;end=2021-05-12&amp;gddbase=4&amp;gddmin=0&amp;stats=sum(gdd)&amp;output=html</v>
      </c>
    </row>
    <row r="141" spans="1:20" x14ac:dyDescent="0.25">
      <c r="A141" s="6">
        <v>37.887001037597599</v>
      </c>
      <c r="B141" s="3">
        <v>-76.800201416015597</v>
      </c>
      <c r="C141" s="2" t="s">
        <v>66</v>
      </c>
      <c r="D141" s="4">
        <v>44127</v>
      </c>
      <c r="E141" s="4">
        <v>44305</v>
      </c>
      <c r="F141" s="4" t="s">
        <v>133</v>
      </c>
      <c r="G141" s="2" t="s">
        <v>96</v>
      </c>
      <c r="H141" s="2">
        <v>1</v>
      </c>
      <c r="I141" s="22">
        <v>3.2866046</v>
      </c>
      <c r="J141" s="5">
        <v>22.122312999999998</v>
      </c>
      <c r="K141" s="5">
        <v>9.3026529999999994</v>
      </c>
      <c r="L141" s="5">
        <v>24.309443999999999</v>
      </c>
      <c r="M141" s="5">
        <v>42.977386000000003</v>
      </c>
      <c r="N141" s="5">
        <v>25.319459999999999</v>
      </c>
      <c r="O141" s="5">
        <v>54.135815000000001</v>
      </c>
      <c r="P141" s="5">
        <v>43.210209999999996</v>
      </c>
      <c r="Q141" s="5">
        <v>2.6539776000000002</v>
      </c>
      <c r="R141" s="23" t="s">
        <v>157</v>
      </c>
      <c r="S141" s="20">
        <v>825.72505283355702</v>
      </c>
      <c r="T141" s="15" t="str">
        <f t="shared" si="2"/>
        <v>https://weather.covercrop-data.org/daily?lat=37.8870010375976&amp;lon=-76.8002014160156&amp;start=2020-10-23&amp;end=2021-04-19&amp;gddbase=4&amp;gddmin=0&amp;stats=sum(gdd)&amp;output=html</v>
      </c>
    </row>
    <row r="142" spans="1:20" x14ac:dyDescent="0.25">
      <c r="A142" s="6">
        <v>37.887001037597599</v>
      </c>
      <c r="B142" s="3">
        <v>-76.800201416015597</v>
      </c>
      <c r="C142" s="2" t="s">
        <v>66</v>
      </c>
      <c r="D142" s="4">
        <v>44127</v>
      </c>
      <c r="E142" s="4">
        <v>44305</v>
      </c>
      <c r="F142" s="4" t="s">
        <v>133</v>
      </c>
      <c r="G142" s="2" t="s">
        <v>96</v>
      </c>
      <c r="H142" s="2">
        <v>2</v>
      </c>
      <c r="I142" s="22">
        <v>3.1728485000000002</v>
      </c>
      <c r="J142" s="5">
        <v>15.939942</v>
      </c>
      <c r="K142" s="5">
        <v>7.5491659999999996</v>
      </c>
      <c r="L142" s="5">
        <v>24.564661000000001</v>
      </c>
      <c r="M142" s="5">
        <v>42.342365000000001</v>
      </c>
      <c r="N142" s="5">
        <v>33.959643999999997</v>
      </c>
      <c r="O142" s="5">
        <v>55.622852000000002</v>
      </c>
      <c r="P142" s="5">
        <v>41.911068</v>
      </c>
      <c r="Q142" s="5">
        <v>2.466078</v>
      </c>
      <c r="R142" s="23" t="s">
        <v>157</v>
      </c>
      <c r="S142" s="20">
        <v>825.72505283355702</v>
      </c>
      <c r="T142" s="15" t="str">
        <f t="shared" si="2"/>
        <v>https://weather.covercrop-data.org/daily?lat=37.8870010375976&amp;lon=-76.8002014160156&amp;start=2020-10-23&amp;end=2021-04-19&amp;gddbase=4&amp;gddmin=0&amp;stats=sum(gdd)&amp;output=html</v>
      </c>
    </row>
    <row r="143" spans="1:20" x14ac:dyDescent="0.25">
      <c r="A143" s="6">
        <v>38.190689086913999</v>
      </c>
      <c r="B143" s="3">
        <v>-75.684425354003906</v>
      </c>
      <c r="C143" s="2" t="s">
        <v>66</v>
      </c>
      <c r="D143" s="4">
        <v>42663</v>
      </c>
      <c r="E143" s="4">
        <v>42830</v>
      </c>
      <c r="F143" s="4" t="s">
        <v>139</v>
      </c>
      <c r="G143" s="2" t="s">
        <v>70</v>
      </c>
      <c r="H143" s="2">
        <v>1</v>
      </c>
      <c r="I143" s="22">
        <v>3.5</v>
      </c>
      <c r="J143" s="5">
        <v>15.54</v>
      </c>
      <c r="K143" s="5">
        <v>5.69</v>
      </c>
      <c r="L143" s="5">
        <v>27.35</v>
      </c>
      <c r="M143" s="5">
        <v>46.63</v>
      </c>
      <c r="N143" s="5">
        <v>31.91</v>
      </c>
      <c r="O143" s="5">
        <v>52.21</v>
      </c>
      <c r="P143" s="5">
        <v>46</v>
      </c>
      <c r="Q143" s="5">
        <v>1.78</v>
      </c>
      <c r="R143" s="23"/>
      <c r="S143" s="20">
        <v>716.32519817352295</v>
      </c>
      <c r="T143" s="15" t="str">
        <f t="shared" si="2"/>
        <v>https://weather.covercrop-data.org/daily?lat=38.190689086914&amp;lon=-75.6844253540039&amp;start=2016-10-20&amp;end=2017-04-05&amp;gddbase=4&amp;gddmin=0&amp;stats=sum(gdd)&amp;output=html</v>
      </c>
    </row>
    <row r="144" spans="1:20" x14ac:dyDescent="0.25">
      <c r="A144" s="6">
        <v>38.190689086913999</v>
      </c>
      <c r="B144" s="3">
        <v>-75.684425354003906</v>
      </c>
      <c r="C144" s="2" t="s">
        <v>66</v>
      </c>
      <c r="D144" s="4">
        <v>42663</v>
      </c>
      <c r="E144" s="4">
        <v>42830</v>
      </c>
      <c r="F144" s="4" t="s">
        <v>139</v>
      </c>
      <c r="G144" s="2" t="s">
        <v>70</v>
      </c>
      <c r="H144" s="2">
        <v>2</v>
      </c>
      <c r="I144" s="22">
        <v>3.55</v>
      </c>
      <c r="J144" s="5">
        <v>16.309999999999999</v>
      </c>
      <c r="K144" s="5">
        <v>6.91</v>
      </c>
      <c r="L144" s="5">
        <v>27</v>
      </c>
      <c r="M144" s="5">
        <v>45.93</v>
      </c>
      <c r="N144" s="5">
        <v>30.51</v>
      </c>
      <c r="O144" s="5">
        <v>52.31</v>
      </c>
      <c r="P144" s="5">
        <v>45.62</v>
      </c>
      <c r="Q144" s="5">
        <v>2.08</v>
      </c>
      <c r="R144" s="23"/>
      <c r="S144" s="20">
        <v>716.32519817352295</v>
      </c>
      <c r="T144" s="15" t="str">
        <f t="shared" si="2"/>
        <v>https://weather.covercrop-data.org/daily?lat=38.190689086914&amp;lon=-75.6844253540039&amp;start=2016-10-20&amp;end=2017-04-05&amp;gddbase=4&amp;gddmin=0&amp;stats=sum(gdd)&amp;output=html</v>
      </c>
    </row>
    <row r="145" spans="1:20" x14ac:dyDescent="0.25">
      <c r="A145" s="6">
        <v>38.677742004394503</v>
      </c>
      <c r="B145" s="3">
        <v>-76.024215698242102</v>
      </c>
      <c r="C145" s="2" t="s">
        <v>66</v>
      </c>
      <c r="D145" s="4">
        <v>42663</v>
      </c>
      <c r="E145" s="4">
        <v>42828</v>
      </c>
      <c r="F145" s="4" t="s">
        <v>139</v>
      </c>
      <c r="G145" s="2" t="s">
        <v>84</v>
      </c>
      <c r="H145" s="2">
        <v>1</v>
      </c>
      <c r="I145" s="22">
        <v>3.41</v>
      </c>
      <c r="J145" s="5">
        <v>14.21</v>
      </c>
      <c r="K145" s="5">
        <v>3.62</v>
      </c>
      <c r="L145" s="5">
        <v>20.8</v>
      </c>
      <c r="M145" s="5">
        <v>35.65</v>
      </c>
      <c r="N145" s="5">
        <v>45.61</v>
      </c>
      <c r="O145" s="5">
        <v>63.94</v>
      </c>
      <c r="P145" s="5">
        <v>34.479999999999997</v>
      </c>
      <c r="Q145" s="5">
        <v>1.58</v>
      </c>
      <c r="R145" s="23"/>
      <c r="S145" s="20">
        <v>697.56021547317505</v>
      </c>
      <c r="T145" s="15" t="str">
        <f t="shared" si="2"/>
        <v>https://weather.covercrop-data.org/daily?lat=38.6777420043945&amp;lon=-76.0242156982421&amp;start=2016-10-20&amp;end=2017-04-03&amp;gddbase=4&amp;gddmin=0&amp;stats=sum(gdd)&amp;output=html</v>
      </c>
    </row>
    <row r="146" spans="1:20" x14ac:dyDescent="0.25">
      <c r="A146" s="6">
        <v>38.677742004394503</v>
      </c>
      <c r="B146" s="3">
        <v>-76.024215698242102</v>
      </c>
      <c r="C146" s="2" t="s">
        <v>66</v>
      </c>
      <c r="D146" s="4">
        <v>42663</v>
      </c>
      <c r="E146" s="4">
        <v>42828</v>
      </c>
      <c r="F146" s="4" t="s">
        <v>139</v>
      </c>
      <c r="G146" s="2" t="s">
        <v>84</v>
      </c>
      <c r="H146" s="2">
        <v>2</v>
      </c>
      <c r="I146" s="22">
        <v>3.35</v>
      </c>
      <c r="J146" s="5">
        <v>14.59</v>
      </c>
      <c r="K146" s="5">
        <v>3.23</v>
      </c>
      <c r="L146" s="5">
        <v>22.16</v>
      </c>
      <c r="M146" s="5">
        <v>36.590000000000003</v>
      </c>
      <c r="N146" s="5">
        <v>44.8</v>
      </c>
      <c r="O146" s="5">
        <v>63.16</v>
      </c>
      <c r="P146" s="5">
        <v>35.159999999999997</v>
      </c>
      <c r="Q146" s="5">
        <v>1.68</v>
      </c>
      <c r="R146" s="23"/>
      <c r="S146" s="20">
        <v>697.56021547317505</v>
      </c>
      <c r="T146" s="15" t="str">
        <f t="shared" si="2"/>
        <v>https://weather.covercrop-data.org/daily?lat=38.6777420043945&amp;lon=-76.0242156982421&amp;start=2016-10-20&amp;end=2017-04-03&amp;gddbase=4&amp;gddmin=0&amp;stats=sum(gdd)&amp;output=html</v>
      </c>
    </row>
    <row r="147" spans="1:20" x14ac:dyDescent="0.25">
      <c r="A147" s="6">
        <v>38.758262634277301</v>
      </c>
      <c r="B147" s="3">
        <v>-75.771865844726506</v>
      </c>
      <c r="C147" s="2" t="s">
        <v>66</v>
      </c>
      <c r="D147" s="4">
        <v>43005</v>
      </c>
      <c r="E147" s="4">
        <v>43201</v>
      </c>
      <c r="F147" s="4" t="s">
        <v>139</v>
      </c>
      <c r="G147" s="2" t="s">
        <v>94</v>
      </c>
      <c r="H147" s="2">
        <v>1</v>
      </c>
      <c r="I147" s="22">
        <v>3.18</v>
      </c>
      <c r="J147" s="5">
        <v>14.11</v>
      </c>
      <c r="K147" s="5">
        <v>4.91</v>
      </c>
      <c r="L147" s="5">
        <v>24.49</v>
      </c>
      <c r="M147" s="5">
        <v>46.98</v>
      </c>
      <c r="N147" s="5">
        <v>30.82</v>
      </c>
      <c r="O147" s="5">
        <v>50.59</v>
      </c>
      <c r="P147" s="5">
        <v>44.67</v>
      </c>
      <c r="Q147" s="5">
        <v>4.7300000000000004</v>
      </c>
      <c r="R147" s="23"/>
      <c r="S147" s="20">
        <v>915.60009098053001</v>
      </c>
      <c r="T147" s="15" t="str">
        <f t="shared" si="2"/>
        <v>https://weather.covercrop-data.org/daily?lat=38.7582626342773&amp;lon=-75.7718658447265&amp;start=2017-09-27&amp;end=2018-04-11&amp;gddbase=4&amp;gddmin=0&amp;stats=sum(gdd)&amp;output=html</v>
      </c>
    </row>
    <row r="148" spans="1:20" x14ac:dyDescent="0.25">
      <c r="A148" s="6">
        <v>38.758262634277301</v>
      </c>
      <c r="B148" s="3">
        <v>-75.771865844726506</v>
      </c>
      <c r="C148" s="2" t="s">
        <v>66</v>
      </c>
      <c r="D148" s="4">
        <v>43005</v>
      </c>
      <c r="E148" s="4">
        <v>43201</v>
      </c>
      <c r="F148" s="4" t="s">
        <v>139</v>
      </c>
      <c r="G148" s="2" t="s">
        <v>94</v>
      </c>
      <c r="H148" s="2">
        <v>2</v>
      </c>
      <c r="I148" s="22">
        <v>3.04</v>
      </c>
      <c r="J148" s="5">
        <v>13.11</v>
      </c>
      <c r="K148" s="5">
        <v>5.6</v>
      </c>
      <c r="L148" s="5">
        <v>25.24</v>
      </c>
      <c r="M148" s="5">
        <v>48.34</v>
      </c>
      <c r="N148" s="5">
        <v>29.91</v>
      </c>
      <c r="O148" s="5">
        <v>48.79</v>
      </c>
      <c r="P148" s="5">
        <v>46.17</v>
      </c>
      <c r="Q148" s="5">
        <v>5.04</v>
      </c>
      <c r="R148" s="23"/>
      <c r="S148" s="20">
        <v>915.60009098053001</v>
      </c>
      <c r="T148" s="15" t="str">
        <f t="shared" si="2"/>
        <v>https://weather.covercrop-data.org/daily?lat=38.7582626342773&amp;lon=-75.7718658447265&amp;start=2017-09-27&amp;end=2018-04-11&amp;gddbase=4&amp;gddmin=0&amp;stats=sum(gdd)&amp;output=html</v>
      </c>
    </row>
    <row r="149" spans="1:20" x14ac:dyDescent="0.25">
      <c r="A149" s="6">
        <v>38.794288635253899</v>
      </c>
      <c r="B149" s="3">
        <v>-76.181739807128906</v>
      </c>
      <c r="C149" s="2" t="s">
        <v>66</v>
      </c>
      <c r="D149" s="4">
        <v>43029</v>
      </c>
      <c r="E149" s="4">
        <v>43217</v>
      </c>
      <c r="F149" s="4" t="s">
        <v>139</v>
      </c>
      <c r="G149" s="2" t="s">
        <v>81</v>
      </c>
      <c r="H149" s="2">
        <v>1</v>
      </c>
      <c r="I149" s="22">
        <v>2.89</v>
      </c>
      <c r="J149" s="5">
        <v>22.93</v>
      </c>
      <c r="K149" s="5">
        <v>7.02</v>
      </c>
      <c r="L149" s="5">
        <v>23.65</v>
      </c>
      <c r="M149" s="5">
        <v>40.68</v>
      </c>
      <c r="N149" s="5">
        <v>26.48</v>
      </c>
      <c r="O149" s="5">
        <v>56.25</v>
      </c>
      <c r="P149" s="5">
        <v>38.67</v>
      </c>
      <c r="Q149" s="5">
        <v>5.08</v>
      </c>
      <c r="R149" s="23"/>
      <c r="S149" s="20">
        <v>678.06509971618698</v>
      </c>
      <c r="T149" s="15" t="str">
        <f t="shared" si="2"/>
        <v>https://weather.covercrop-data.org/daily?lat=38.7942886352539&amp;lon=-76.1817398071289&amp;start=2017-10-21&amp;end=2018-04-27&amp;gddbase=4&amp;gddmin=0&amp;stats=sum(gdd)&amp;output=html</v>
      </c>
    </row>
    <row r="150" spans="1:20" x14ac:dyDescent="0.25">
      <c r="A150" s="6">
        <v>38.794288635253899</v>
      </c>
      <c r="B150" s="3">
        <v>-76.181739807128906</v>
      </c>
      <c r="C150" s="2" t="s">
        <v>66</v>
      </c>
      <c r="D150" s="4">
        <v>43029</v>
      </c>
      <c r="E150" s="4">
        <v>43217</v>
      </c>
      <c r="F150" s="4" t="s">
        <v>139</v>
      </c>
      <c r="G150" s="2" t="s">
        <v>81</v>
      </c>
      <c r="H150" s="2">
        <v>2</v>
      </c>
      <c r="I150" s="22">
        <v>3.06</v>
      </c>
      <c r="J150" s="5">
        <v>23.53</v>
      </c>
      <c r="K150" s="5">
        <v>7.33</v>
      </c>
      <c r="L150" s="5">
        <v>22.14</v>
      </c>
      <c r="M150" s="5">
        <v>39.46</v>
      </c>
      <c r="N150" s="5">
        <v>26.62</v>
      </c>
      <c r="O150" s="5">
        <v>57.42</v>
      </c>
      <c r="P150" s="5">
        <v>37.24</v>
      </c>
      <c r="Q150" s="5">
        <v>5.34</v>
      </c>
      <c r="R150" s="23"/>
      <c r="S150" s="20">
        <v>678.06509971618698</v>
      </c>
      <c r="T150" s="15" t="str">
        <f t="shared" si="2"/>
        <v>https://weather.covercrop-data.org/daily?lat=38.7942886352539&amp;lon=-76.1817398071289&amp;start=2017-10-21&amp;end=2018-04-27&amp;gddbase=4&amp;gddmin=0&amp;stats=sum(gdd)&amp;output=html</v>
      </c>
    </row>
    <row r="151" spans="1:20" x14ac:dyDescent="0.25">
      <c r="A151" s="6">
        <v>38.795326232910099</v>
      </c>
      <c r="B151" s="3">
        <v>-76.179496765136705</v>
      </c>
      <c r="C151" s="2" t="s">
        <v>66</v>
      </c>
      <c r="D151" s="4">
        <v>43029</v>
      </c>
      <c r="E151" s="4">
        <v>43217</v>
      </c>
      <c r="F151" s="4" t="s">
        <v>139</v>
      </c>
      <c r="G151" s="2" t="s">
        <v>79</v>
      </c>
      <c r="H151" s="2">
        <v>1</v>
      </c>
      <c r="I151" s="22">
        <v>2.92</v>
      </c>
      <c r="J151" s="5">
        <v>20.79</v>
      </c>
      <c r="K151" s="5">
        <v>7.18</v>
      </c>
      <c r="L151" s="5">
        <v>22.43</v>
      </c>
      <c r="M151" s="5">
        <v>41.78</v>
      </c>
      <c r="N151" s="5">
        <v>27.33</v>
      </c>
      <c r="O151" s="5">
        <v>54.99</v>
      </c>
      <c r="P151" s="5">
        <v>39.380000000000003</v>
      </c>
      <c r="Q151" s="5">
        <v>5.63</v>
      </c>
      <c r="R151" s="23"/>
      <c r="S151" s="20">
        <v>678.06509971618698</v>
      </c>
      <c r="T151" s="15" t="str">
        <f t="shared" si="2"/>
        <v>https://weather.covercrop-data.org/daily?lat=38.7953262329101&amp;lon=-76.1794967651367&amp;start=2017-10-21&amp;end=2018-04-27&amp;gddbase=4&amp;gddmin=0&amp;stats=sum(gdd)&amp;output=html</v>
      </c>
    </row>
    <row r="152" spans="1:20" x14ac:dyDescent="0.25">
      <c r="A152" s="6">
        <v>38.795326232910099</v>
      </c>
      <c r="B152" s="3">
        <v>-76.179496765136705</v>
      </c>
      <c r="C152" s="2" t="s">
        <v>66</v>
      </c>
      <c r="D152" s="4">
        <v>43029</v>
      </c>
      <c r="E152" s="4">
        <v>43217</v>
      </c>
      <c r="F152" s="4" t="s">
        <v>139</v>
      </c>
      <c r="G152" s="2" t="s">
        <v>79</v>
      </c>
      <c r="H152" s="2">
        <v>2</v>
      </c>
      <c r="I152" s="22">
        <v>3.21</v>
      </c>
      <c r="J152" s="5">
        <v>23.69</v>
      </c>
      <c r="K152" s="5">
        <v>7.82</v>
      </c>
      <c r="L152" s="5">
        <v>20.41</v>
      </c>
      <c r="M152" s="5">
        <v>39.46</v>
      </c>
      <c r="N152" s="5">
        <v>25.82</v>
      </c>
      <c r="O152" s="5">
        <v>57.19</v>
      </c>
      <c r="P152" s="5">
        <v>37.24</v>
      </c>
      <c r="Q152" s="5">
        <v>5.57</v>
      </c>
      <c r="R152" s="23"/>
      <c r="S152" s="20">
        <v>678.06509971618698</v>
      </c>
      <c r="T152" s="15" t="str">
        <f t="shared" si="2"/>
        <v>https://weather.covercrop-data.org/daily?lat=38.7953262329101&amp;lon=-76.1794967651367&amp;start=2017-10-21&amp;end=2018-04-27&amp;gddbase=4&amp;gddmin=0&amp;stats=sum(gdd)&amp;output=html</v>
      </c>
    </row>
    <row r="153" spans="1:20" x14ac:dyDescent="0.25">
      <c r="A153" s="6">
        <v>38.822280883788999</v>
      </c>
      <c r="B153" s="3">
        <v>-76.137115478515597</v>
      </c>
      <c r="C153" s="2" t="s">
        <v>66</v>
      </c>
      <c r="D153" s="4">
        <v>43029</v>
      </c>
      <c r="E153" s="4">
        <v>43217</v>
      </c>
      <c r="F153" s="4" t="s">
        <v>139</v>
      </c>
      <c r="G153" s="2" t="s">
        <v>82</v>
      </c>
      <c r="H153" s="2">
        <v>1</v>
      </c>
      <c r="I153" s="22">
        <v>2.82</v>
      </c>
      <c r="J153" s="5">
        <v>16.88</v>
      </c>
      <c r="K153" s="5">
        <v>6.51</v>
      </c>
      <c r="L153" s="5">
        <v>22.75</v>
      </c>
      <c r="M153" s="5">
        <v>40.89</v>
      </c>
      <c r="N153" s="5">
        <v>32.9</v>
      </c>
      <c r="O153" s="5">
        <v>56.26</v>
      </c>
      <c r="P153" s="5">
        <v>38.119999999999997</v>
      </c>
      <c r="Q153" s="5">
        <v>5.62</v>
      </c>
      <c r="R153" s="23"/>
      <c r="S153" s="20">
        <v>678.06509971618698</v>
      </c>
      <c r="T153" s="15" t="str">
        <f t="shared" si="2"/>
        <v>https://weather.covercrop-data.org/daily?lat=38.822280883789&amp;lon=-76.1371154785156&amp;start=2017-10-21&amp;end=2018-04-27&amp;gddbase=4&amp;gddmin=0&amp;stats=sum(gdd)&amp;output=html</v>
      </c>
    </row>
    <row r="154" spans="1:20" x14ac:dyDescent="0.25">
      <c r="A154" s="6">
        <v>38.822280883788999</v>
      </c>
      <c r="B154" s="3">
        <v>-76.137115478515597</v>
      </c>
      <c r="C154" s="2" t="s">
        <v>66</v>
      </c>
      <c r="D154" s="4">
        <v>43029</v>
      </c>
      <c r="E154" s="4">
        <v>43217</v>
      </c>
      <c r="F154" s="4" t="s">
        <v>139</v>
      </c>
      <c r="G154" s="2" t="s">
        <v>82</v>
      </c>
      <c r="H154" s="2">
        <v>2</v>
      </c>
      <c r="I154" s="22">
        <v>2.71</v>
      </c>
      <c r="J154" s="5">
        <v>16.489999999999998</v>
      </c>
      <c r="K154" s="5">
        <v>6.55</v>
      </c>
      <c r="L154" s="5">
        <v>23.65</v>
      </c>
      <c r="M154" s="5">
        <v>43.06</v>
      </c>
      <c r="N154" s="5">
        <v>31.19</v>
      </c>
      <c r="O154" s="5">
        <v>53.92</v>
      </c>
      <c r="P154" s="5">
        <v>40.67</v>
      </c>
      <c r="Q154" s="5">
        <v>5.4</v>
      </c>
      <c r="R154" s="23"/>
      <c r="S154" s="20">
        <v>678.06509971618698</v>
      </c>
      <c r="T154" s="15" t="str">
        <f t="shared" si="2"/>
        <v>https://weather.covercrop-data.org/daily?lat=38.822280883789&amp;lon=-76.1371154785156&amp;start=2017-10-21&amp;end=2018-04-27&amp;gddbase=4&amp;gddmin=0&amp;stats=sum(gdd)&amp;output=html</v>
      </c>
    </row>
    <row r="155" spans="1:20" x14ac:dyDescent="0.25">
      <c r="A155" s="6">
        <v>38.843772888183501</v>
      </c>
      <c r="B155" s="3">
        <v>-76.177650451660099</v>
      </c>
      <c r="C155" s="2" t="s">
        <v>66</v>
      </c>
      <c r="D155" s="4">
        <v>42650</v>
      </c>
      <c r="E155" s="4">
        <v>42826</v>
      </c>
      <c r="F155" s="4" t="s">
        <v>139</v>
      </c>
      <c r="G155" s="2" t="s">
        <v>78</v>
      </c>
      <c r="H155" s="2">
        <v>1</v>
      </c>
      <c r="I155" s="22">
        <v>3.53</v>
      </c>
      <c r="J155" s="5">
        <v>20.28</v>
      </c>
      <c r="K155" s="5">
        <v>7.35</v>
      </c>
      <c r="L155" s="5">
        <v>22.12</v>
      </c>
      <c r="M155" s="5">
        <v>35.93</v>
      </c>
      <c r="N155" s="5">
        <v>35.43</v>
      </c>
      <c r="O155" s="5">
        <v>62.25</v>
      </c>
      <c r="P155" s="5">
        <v>35.81</v>
      </c>
      <c r="Q155" s="5">
        <v>1.94</v>
      </c>
      <c r="R155" s="23"/>
      <c r="S155" s="20">
        <v>848.67022323608398</v>
      </c>
      <c r="T155" s="15" t="str">
        <f t="shared" si="2"/>
        <v>https://weather.covercrop-data.org/daily?lat=38.8437728881835&amp;lon=-76.1776504516601&amp;start=2016-10-07&amp;end=2017-04-01&amp;gddbase=4&amp;gddmin=0&amp;stats=sum(gdd)&amp;output=html</v>
      </c>
    </row>
    <row r="156" spans="1:20" x14ac:dyDescent="0.25">
      <c r="A156" s="6">
        <v>38.843772888183501</v>
      </c>
      <c r="B156" s="3">
        <v>-76.177650451660099</v>
      </c>
      <c r="C156" s="2" t="s">
        <v>66</v>
      </c>
      <c r="D156" s="4">
        <v>42650</v>
      </c>
      <c r="E156" s="4">
        <v>42826</v>
      </c>
      <c r="F156" s="4" t="s">
        <v>139</v>
      </c>
      <c r="G156" s="2" t="s">
        <v>77</v>
      </c>
      <c r="H156" s="2">
        <v>1</v>
      </c>
      <c r="I156" s="22">
        <v>3.54</v>
      </c>
      <c r="J156" s="5">
        <v>19.579999999999998</v>
      </c>
      <c r="K156" s="5">
        <v>7.41</v>
      </c>
      <c r="L156" s="5">
        <v>23.22</v>
      </c>
      <c r="M156" s="5">
        <v>36.9</v>
      </c>
      <c r="N156" s="5">
        <v>35.15</v>
      </c>
      <c r="O156" s="5">
        <v>61.23</v>
      </c>
      <c r="P156" s="5">
        <v>36.770000000000003</v>
      </c>
      <c r="Q156" s="5">
        <v>2.0099999999999998</v>
      </c>
      <c r="R156" s="23"/>
      <c r="S156" s="20">
        <v>848.67022323608398</v>
      </c>
      <c r="T156" s="15" t="str">
        <f t="shared" si="2"/>
        <v>https://weather.covercrop-data.org/daily?lat=38.8437728881835&amp;lon=-76.1776504516601&amp;start=2016-10-07&amp;end=2017-04-01&amp;gddbase=4&amp;gddmin=0&amp;stats=sum(gdd)&amp;output=html</v>
      </c>
    </row>
    <row r="157" spans="1:20" x14ac:dyDescent="0.25">
      <c r="A157" s="6">
        <v>38.843772888183501</v>
      </c>
      <c r="B157" s="3">
        <v>-76.177650451660099</v>
      </c>
      <c r="C157" s="2" t="s">
        <v>66</v>
      </c>
      <c r="D157" s="4">
        <v>42650</v>
      </c>
      <c r="E157" s="4">
        <v>42826</v>
      </c>
      <c r="F157" s="4" t="s">
        <v>139</v>
      </c>
      <c r="G157" s="2" t="s">
        <v>77</v>
      </c>
      <c r="H157" s="2">
        <v>2</v>
      </c>
      <c r="I157" s="22">
        <v>3.51</v>
      </c>
      <c r="J157" s="5">
        <v>20.059999999999999</v>
      </c>
      <c r="K157" s="5">
        <v>7.4</v>
      </c>
      <c r="L157" s="5">
        <v>23.07</v>
      </c>
      <c r="M157" s="5">
        <v>37.950000000000003</v>
      </c>
      <c r="N157" s="5">
        <v>33.74</v>
      </c>
      <c r="O157" s="5">
        <v>60.16</v>
      </c>
      <c r="P157" s="5">
        <v>38.11</v>
      </c>
      <c r="Q157" s="5">
        <v>1.73</v>
      </c>
      <c r="R157" s="23"/>
      <c r="S157" s="20">
        <v>848.67022323608398</v>
      </c>
      <c r="T157" s="15" t="str">
        <f t="shared" si="2"/>
        <v>https://weather.covercrop-data.org/daily?lat=38.8437728881835&amp;lon=-76.1776504516601&amp;start=2016-10-07&amp;end=2017-04-01&amp;gddbase=4&amp;gddmin=0&amp;stats=sum(gdd)&amp;output=html</v>
      </c>
    </row>
    <row r="158" spans="1:20" x14ac:dyDescent="0.25">
      <c r="A158" s="6">
        <v>38.843772888183501</v>
      </c>
      <c r="B158" s="3">
        <v>-76.177650451660099</v>
      </c>
      <c r="C158" s="2" t="s">
        <v>66</v>
      </c>
      <c r="D158" s="4">
        <v>42650</v>
      </c>
      <c r="E158" s="4">
        <v>42826</v>
      </c>
      <c r="F158" s="4" t="s">
        <v>139</v>
      </c>
      <c r="G158" s="2" t="s">
        <v>78</v>
      </c>
      <c r="H158" s="2">
        <v>2</v>
      </c>
      <c r="I158" s="22">
        <v>3.44</v>
      </c>
      <c r="J158" s="5">
        <v>20.68</v>
      </c>
      <c r="K158" s="5">
        <v>6.9</v>
      </c>
      <c r="L158" s="5">
        <v>22.25</v>
      </c>
      <c r="M158" s="5">
        <v>37.020000000000003</v>
      </c>
      <c r="N158" s="5">
        <v>34.54</v>
      </c>
      <c r="O158" s="5">
        <v>61.31</v>
      </c>
      <c r="P158" s="5">
        <v>36.89</v>
      </c>
      <c r="Q158" s="5">
        <v>1.8</v>
      </c>
      <c r="R158" s="23"/>
      <c r="S158" s="20">
        <v>848.67022323608398</v>
      </c>
      <c r="T158" s="15" t="str">
        <f t="shared" si="2"/>
        <v>https://weather.covercrop-data.org/daily?lat=38.8437728881835&amp;lon=-76.1776504516601&amp;start=2016-10-07&amp;end=2017-04-01&amp;gddbase=4&amp;gddmin=0&amp;stats=sum(gdd)&amp;output=html</v>
      </c>
    </row>
    <row r="159" spans="1:20" x14ac:dyDescent="0.25">
      <c r="A159" s="6">
        <v>38.866260528564403</v>
      </c>
      <c r="B159" s="3">
        <v>-76.154800415039006</v>
      </c>
      <c r="C159" s="2" t="s">
        <v>66</v>
      </c>
      <c r="D159" s="4">
        <v>42650</v>
      </c>
      <c r="E159" s="4">
        <v>42826</v>
      </c>
      <c r="F159" s="4" t="s">
        <v>139</v>
      </c>
      <c r="G159" s="2" t="s">
        <v>76</v>
      </c>
      <c r="H159" s="2">
        <v>1</v>
      </c>
      <c r="I159" s="22">
        <v>3.59</v>
      </c>
      <c r="J159" s="5">
        <v>19.04</v>
      </c>
      <c r="K159" s="5">
        <v>5.49</v>
      </c>
      <c r="L159" s="5">
        <v>24.62</v>
      </c>
      <c r="M159" s="5">
        <v>41.15</v>
      </c>
      <c r="N159" s="5">
        <v>33.6</v>
      </c>
      <c r="O159" s="5">
        <v>57.74</v>
      </c>
      <c r="P159" s="5">
        <v>41.25</v>
      </c>
      <c r="Q159" s="5">
        <v>1.01</v>
      </c>
      <c r="R159" s="23"/>
      <c r="S159" s="20">
        <v>848.67022323608398</v>
      </c>
      <c r="T159" s="15" t="str">
        <f t="shared" si="2"/>
        <v>https://weather.covercrop-data.org/daily?lat=38.8662605285644&amp;lon=-76.154800415039&amp;start=2016-10-07&amp;end=2017-04-01&amp;gddbase=4&amp;gddmin=0&amp;stats=sum(gdd)&amp;output=html</v>
      </c>
    </row>
    <row r="160" spans="1:20" x14ac:dyDescent="0.25">
      <c r="A160" s="6">
        <v>38.866260528564403</v>
      </c>
      <c r="B160" s="3">
        <v>-76.154800415039006</v>
      </c>
      <c r="C160" s="2" t="s">
        <v>66</v>
      </c>
      <c r="D160" s="4">
        <v>42650</v>
      </c>
      <c r="E160" s="4">
        <v>42826</v>
      </c>
      <c r="F160" s="4" t="s">
        <v>139</v>
      </c>
      <c r="G160" s="2" t="s">
        <v>76</v>
      </c>
      <c r="H160" s="2">
        <v>2</v>
      </c>
      <c r="I160" s="22">
        <v>3.58</v>
      </c>
      <c r="J160" s="5">
        <v>18.91</v>
      </c>
      <c r="K160" s="5">
        <v>6.68</v>
      </c>
      <c r="L160" s="5">
        <v>24.95</v>
      </c>
      <c r="M160" s="5">
        <v>42.56</v>
      </c>
      <c r="N160" s="5">
        <v>31.25</v>
      </c>
      <c r="O160" s="5">
        <v>55.81</v>
      </c>
      <c r="P160" s="5">
        <v>42.93</v>
      </c>
      <c r="Q160" s="5">
        <v>1.27</v>
      </c>
      <c r="R160" s="23"/>
      <c r="S160" s="20">
        <v>848.67022323608398</v>
      </c>
      <c r="T160" s="15" t="str">
        <f t="shared" si="2"/>
        <v>https://weather.covercrop-data.org/daily?lat=38.8662605285644&amp;lon=-76.154800415039&amp;start=2016-10-07&amp;end=2017-04-01&amp;gddbase=4&amp;gddmin=0&amp;stats=sum(gdd)&amp;output=html</v>
      </c>
    </row>
    <row r="161" spans="1:20" x14ac:dyDescent="0.25">
      <c r="A161" s="6">
        <v>38.877220153808501</v>
      </c>
      <c r="B161" s="3">
        <v>-75.800598144531193</v>
      </c>
      <c r="C161" s="2" t="s">
        <v>66</v>
      </c>
      <c r="D161" s="4">
        <v>42648</v>
      </c>
      <c r="E161" s="4">
        <v>42854</v>
      </c>
      <c r="F161" s="4" t="s">
        <v>139</v>
      </c>
      <c r="G161" s="2" t="s">
        <v>92</v>
      </c>
      <c r="H161" s="2">
        <v>1</v>
      </c>
      <c r="I161" s="22">
        <v>3.49</v>
      </c>
      <c r="J161" s="5">
        <v>18.489999999999998</v>
      </c>
      <c r="K161" s="5">
        <v>6.41</v>
      </c>
      <c r="L161" s="5">
        <v>23.86</v>
      </c>
      <c r="M161" s="5">
        <v>38.78</v>
      </c>
      <c r="N161" s="5">
        <v>35.549999999999997</v>
      </c>
      <c r="O161" s="5">
        <v>59.73</v>
      </c>
      <c r="P161" s="5">
        <v>38.07</v>
      </c>
      <c r="Q161" s="5">
        <v>2.2000000000000002</v>
      </c>
      <c r="R161" s="23"/>
      <c r="S161" s="20">
        <v>1115.30021047592</v>
      </c>
      <c r="T161" s="15" t="str">
        <f t="shared" si="2"/>
        <v>https://weather.covercrop-data.org/daily?lat=38.8772201538085&amp;lon=-75.8005981445312&amp;start=2016-10-05&amp;end=2017-04-29&amp;gddbase=4&amp;gddmin=0&amp;stats=sum(gdd)&amp;output=html</v>
      </c>
    </row>
    <row r="162" spans="1:20" x14ac:dyDescent="0.25">
      <c r="A162" s="6">
        <v>38.877220153808501</v>
      </c>
      <c r="B162" s="3">
        <v>-75.800598144531193</v>
      </c>
      <c r="C162" s="2" t="s">
        <v>66</v>
      </c>
      <c r="D162" s="4">
        <v>42648</v>
      </c>
      <c r="E162" s="4">
        <v>42854</v>
      </c>
      <c r="F162" s="4" t="s">
        <v>139</v>
      </c>
      <c r="G162" s="2" t="s">
        <v>92</v>
      </c>
      <c r="H162" s="2">
        <v>2</v>
      </c>
      <c r="I162" s="22">
        <v>3.39</v>
      </c>
      <c r="J162" s="5">
        <v>22.91</v>
      </c>
      <c r="K162" s="5">
        <v>8.9</v>
      </c>
      <c r="L162" s="5">
        <v>23.73</v>
      </c>
      <c r="M162" s="5">
        <v>37.979999999999997</v>
      </c>
      <c r="N162" s="5">
        <v>29.47</v>
      </c>
      <c r="O162" s="5">
        <v>59.49</v>
      </c>
      <c r="P162" s="5">
        <v>37.56</v>
      </c>
      <c r="Q162" s="5">
        <v>2.95</v>
      </c>
      <c r="R162" s="23"/>
      <c r="S162" s="20">
        <v>1115.30021047592</v>
      </c>
      <c r="T162" s="15" t="str">
        <f t="shared" si="2"/>
        <v>https://weather.covercrop-data.org/daily?lat=38.8772201538085&amp;lon=-75.8005981445312&amp;start=2016-10-05&amp;end=2017-04-29&amp;gddbase=4&amp;gddmin=0&amp;stats=sum(gdd)&amp;output=html</v>
      </c>
    </row>
    <row r="163" spans="1:20" x14ac:dyDescent="0.25">
      <c r="A163" s="6">
        <v>38.968364715576101</v>
      </c>
      <c r="B163" s="3">
        <v>-75.846954345703097</v>
      </c>
      <c r="C163" s="2" t="s">
        <v>66</v>
      </c>
      <c r="D163" s="4">
        <v>42648</v>
      </c>
      <c r="E163" s="4">
        <v>42854</v>
      </c>
      <c r="F163" s="4" t="s">
        <v>139</v>
      </c>
      <c r="G163" s="2" t="s">
        <v>91</v>
      </c>
      <c r="H163" s="2">
        <v>1</v>
      </c>
      <c r="I163" s="22">
        <v>3.14</v>
      </c>
      <c r="J163" s="5">
        <v>12.81</v>
      </c>
      <c r="K163" s="5">
        <v>2.37</v>
      </c>
      <c r="L163" s="5">
        <v>24.15</v>
      </c>
      <c r="M163" s="5">
        <v>40.04</v>
      </c>
      <c r="N163" s="5">
        <v>44.45</v>
      </c>
      <c r="O163" s="5">
        <v>60.14</v>
      </c>
      <c r="P163" s="5">
        <v>38.61</v>
      </c>
      <c r="Q163" s="5">
        <v>1.25</v>
      </c>
      <c r="R163" s="23"/>
      <c r="S163" s="20">
        <v>1115.30021047592</v>
      </c>
      <c r="T163" s="15" t="str">
        <f t="shared" si="2"/>
        <v>https://weather.covercrop-data.org/daily?lat=38.9683647155761&amp;lon=-75.8469543457031&amp;start=2016-10-05&amp;end=2017-04-29&amp;gddbase=4&amp;gddmin=0&amp;stats=sum(gdd)&amp;output=html</v>
      </c>
    </row>
    <row r="164" spans="1:20" x14ac:dyDescent="0.25">
      <c r="A164" s="6">
        <v>38.968364715576101</v>
      </c>
      <c r="B164" s="3">
        <v>-75.846954345703097</v>
      </c>
      <c r="C164" s="2" t="s">
        <v>66</v>
      </c>
      <c r="D164" s="4">
        <v>42648</v>
      </c>
      <c r="E164" s="4">
        <v>42854</v>
      </c>
      <c r="F164" s="4" t="s">
        <v>139</v>
      </c>
      <c r="G164" s="2" t="s">
        <v>91</v>
      </c>
      <c r="H164" s="2">
        <v>2</v>
      </c>
      <c r="I164" s="22">
        <v>3.05</v>
      </c>
      <c r="J164" s="5">
        <v>12.19</v>
      </c>
      <c r="K164" s="5">
        <v>1.96</v>
      </c>
      <c r="L164" s="5">
        <v>25.52</v>
      </c>
      <c r="M164" s="5">
        <v>41.79</v>
      </c>
      <c r="N164" s="5">
        <v>43.94</v>
      </c>
      <c r="O164" s="5">
        <v>58.61</v>
      </c>
      <c r="P164" s="5">
        <v>40.01</v>
      </c>
      <c r="Q164" s="5">
        <v>1.38</v>
      </c>
      <c r="R164" s="23"/>
      <c r="S164" s="20">
        <v>1115.30021047592</v>
      </c>
      <c r="T164" s="15" t="str">
        <f t="shared" si="2"/>
        <v>https://weather.covercrop-data.org/daily?lat=38.9683647155761&amp;lon=-75.8469543457031&amp;start=2016-10-05&amp;end=2017-04-29&amp;gddbase=4&amp;gddmin=0&amp;stats=sum(gdd)&amp;output=html</v>
      </c>
    </row>
    <row r="165" spans="1:20" x14ac:dyDescent="0.25">
      <c r="A165" s="6">
        <v>39.023956298828097</v>
      </c>
      <c r="B165" s="3">
        <v>-76.083816528320298</v>
      </c>
      <c r="C165" s="2" t="s">
        <v>66</v>
      </c>
      <c r="D165" s="4">
        <v>42688</v>
      </c>
      <c r="E165" s="4">
        <v>42824</v>
      </c>
      <c r="F165" s="4" t="s">
        <v>139</v>
      </c>
      <c r="G165" s="2" t="s">
        <v>83</v>
      </c>
      <c r="H165" s="2">
        <v>1</v>
      </c>
      <c r="I165" s="22">
        <v>3.64</v>
      </c>
      <c r="J165" s="5">
        <v>20.62</v>
      </c>
      <c r="K165" s="5">
        <v>8.44</v>
      </c>
      <c r="L165" s="5">
        <v>19.75</v>
      </c>
      <c r="M165" s="5">
        <v>35.35</v>
      </c>
      <c r="N165" s="5">
        <v>34.43</v>
      </c>
      <c r="O165" s="5">
        <v>62.41</v>
      </c>
      <c r="P165" s="5">
        <v>34.81</v>
      </c>
      <c r="Q165" s="5">
        <v>2.78</v>
      </c>
      <c r="R165" s="23"/>
      <c r="S165" s="20">
        <v>378.36509752273599</v>
      </c>
      <c r="T165" s="15" t="str">
        <f t="shared" si="2"/>
        <v>https://weather.covercrop-data.org/daily?lat=39.0239562988281&amp;lon=-76.0838165283203&amp;start=2016-11-14&amp;end=2017-03-30&amp;gddbase=4&amp;gddmin=0&amp;stats=sum(gdd)&amp;output=html</v>
      </c>
    </row>
    <row r="166" spans="1:20" x14ac:dyDescent="0.25">
      <c r="A166" s="6">
        <v>39.023956298828097</v>
      </c>
      <c r="B166" s="3">
        <v>-76.083816528320298</v>
      </c>
      <c r="C166" s="2" t="s">
        <v>66</v>
      </c>
      <c r="D166" s="4">
        <v>42688</v>
      </c>
      <c r="E166" s="4">
        <v>42824</v>
      </c>
      <c r="F166" s="4" t="s">
        <v>139</v>
      </c>
      <c r="G166" s="2" t="s">
        <v>83</v>
      </c>
      <c r="H166" s="2">
        <v>2</v>
      </c>
      <c r="I166" s="22">
        <v>3.72</v>
      </c>
      <c r="J166" s="5">
        <v>22.68</v>
      </c>
      <c r="K166" s="5">
        <v>7.04</v>
      </c>
      <c r="L166" s="5">
        <v>17.600000000000001</v>
      </c>
      <c r="M166" s="5">
        <v>32.42</v>
      </c>
      <c r="N166" s="5">
        <v>36.409999999999997</v>
      </c>
      <c r="O166" s="5">
        <v>65.959999999999994</v>
      </c>
      <c r="P166" s="5">
        <v>32.1</v>
      </c>
      <c r="Q166" s="5">
        <v>1.94</v>
      </c>
      <c r="R166" s="23"/>
      <c r="S166" s="20">
        <v>378.36509752273599</v>
      </c>
      <c r="T166" s="15" t="str">
        <f t="shared" si="2"/>
        <v>https://weather.covercrop-data.org/daily?lat=39.0239562988281&amp;lon=-76.0838165283203&amp;start=2016-11-14&amp;end=2017-03-30&amp;gddbase=4&amp;gddmin=0&amp;stats=sum(gdd)&amp;output=html</v>
      </c>
    </row>
    <row r="167" spans="1:20" x14ac:dyDescent="0.25">
      <c r="A167" s="6">
        <v>39.196327209472599</v>
      </c>
      <c r="B167" s="3">
        <v>-75.849113464355398</v>
      </c>
      <c r="C167" s="2" t="s">
        <v>66</v>
      </c>
      <c r="D167" s="4">
        <v>42675</v>
      </c>
      <c r="E167" s="4">
        <v>42797</v>
      </c>
      <c r="F167" s="4" t="s">
        <v>139</v>
      </c>
      <c r="G167" s="2" t="s">
        <v>90</v>
      </c>
      <c r="H167" s="2">
        <v>1</v>
      </c>
      <c r="I167" s="22">
        <v>2.2999999999999998</v>
      </c>
      <c r="J167" s="5">
        <v>10.5</v>
      </c>
      <c r="K167" s="5">
        <v>4.34</v>
      </c>
      <c r="L167" s="5">
        <v>35.979999999999997</v>
      </c>
      <c r="M167" s="5">
        <v>58.19</v>
      </c>
      <c r="N167" s="5">
        <v>28.75</v>
      </c>
      <c r="O167" s="5">
        <v>41.66</v>
      </c>
      <c r="P167" s="5">
        <v>56.19</v>
      </c>
      <c r="Q167" s="5">
        <v>2.16</v>
      </c>
      <c r="R167" s="23"/>
      <c r="S167" s="20">
        <v>377.47508049011202</v>
      </c>
      <c r="T167" s="15" t="str">
        <f t="shared" si="2"/>
        <v>https://weather.covercrop-data.org/daily?lat=39.1963272094726&amp;lon=-75.8491134643554&amp;start=2016-11-01&amp;end=2017-03-03&amp;gddbase=4&amp;gddmin=0&amp;stats=sum(gdd)&amp;output=html</v>
      </c>
    </row>
    <row r="168" spans="1:20" x14ac:dyDescent="0.25">
      <c r="A168" s="6">
        <v>39.196327209472599</v>
      </c>
      <c r="B168" s="3">
        <v>-75.849113464355398</v>
      </c>
      <c r="C168" s="2" t="s">
        <v>66</v>
      </c>
      <c r="D168" s="4">
        <v>42675</v>
      </c>
      <c r="E168" s="4">
        <v>42797</v>
      </c>
      <c r="F168" s="4" t="s">
        <v>139</v>
      </c>
      <c r="G168" s="2" t="s">
        <v>90</v>
      </c>
      <c r="H168" s="2">
        <v>2</v>
      </c>
      <c r="I168" s="22">
        <v>2.36</v>
      </c>
      <c r="J168" s="5">
        <v>12.03</v>
      </c>
      <c r="K168" s="5">
        <v>4.38</v>
      </c>
      <c r="L168" s="5">
        <v>35.28</v>
      </c>
      <c r="M168" s="5">
        <v>57.22</v>
      </c>
      <c r="N168" s="5">
        <v>28.01</v>
      </c>
      <c r="O168" s="5">
        <v>42.56</v>
      </c>
      <c r="P168" s="5">
        <v>55.55</v>
      </c>
      <c r="Q168" s="5">
        <v>1.89</v>
      </c>
      <c r="R168" s="23"/>
      <c r="S168" s="20">
        <v>377.47508049011202</v>
      </c>
      <c r="T168" s="15" t="str">
        <f t="shared" si="2"/>
        <v>https://weather.covercrop-data.org/daily?lat=39.1963272094726&amp;lon=-75.8491134643554&amp;start=2016-11-01&amp;end=2017-03-03&amp;gddbase=4&amp;gddmin=0&amp;stats=sum(gdd)&amp;output=html</v>
      </c>
    </row>
    <row r="169" spans="1:20" x14ac:dyDescent="0.25">
      <c r="A169" s="6">
        <v>39.196327209472599</v>
      </c>
      <c r="B169" s="3">
        <v>-75.849113464355398</v>
      </c>
      <c r="C169" s="2" t="s">
        <v>66</v>
      </c>
      <c r="D169" s="4">
        <v>43324</v>
      </c>
      <c r="E169" s="4">
        <v>43563</v>
      </c>
      <c r="F169" s="4" t="s">
        <v>139</v>
      </c>
      <c r="G169" s="2" t="s">
        <v>71</v>
      </c>
      <c r="H169" s="2">
        <v>1</v>
      </c>
      <c r="I169" s="22">
        <v>2.5299999999999998</v>
      </c>
      <c r="J169" s="5">
        <v>13.8</v>
      </c>
      <c r="K169" s="5">
        <v>4.25</v>
      </c>
      <c r="L169" s="5">
        <v>29.36</v>
      </c>
      <c r="M169" s="5">
        <v>56.81</v>
      </c>
      <c r="N169" s="5">
        <v>26.59</v>
      </c>
      <c r="O169" s="5">
        <v>43.03</v>
      </c>
      <c r="P169" s="5">
        <v>50.9</v>
      </c>
      <c r="Q169" s="5">
        <v>6.07</v>
      </c>
      <c r="R169" s="23"/>
      <c r="S169" s="20">
        <v>1751.6801376342801</v>
      </c>
      <c r="T169" s="15" t="str">
        <f t="shared" si="2"/>
        <v>https://weather.covercrop-data.org/daily?lat=39.1963272094726&amp;lon=-75.8491134643554&amp;start=2018-08-12&amp;end=2019-04-08&amp;gddbase=4&amp;gddmin=0&amp;stats=sum(gdd)&amp;output=html</v>
      </c>
    </row>
    <row r="170" spans="1:20" x14ac:dyDescent="0.25">
      <c r="A170" s="6">
        <v>39.196327209472599</v>
      </c>
      <c r="B170" s="3">
        <v>-75.849113464355398</v>
      </c>
      <c r="C170" s="2" t="s">
        <v>66</v>
      </c>
      <c r="D170" s="4">
        <v>43324</v>
      </c>
      <c r="E170" s="4">
        <v>43563</v>
      </c>
      <c r="F170" s="4" t="s">
        <v>139</v>
      </c>
      <c r="G170" s="2" t="s">
        <v>71</v>
      </c>
      <c r="H170" s="2">
        <v>2</v>
      </c>
      <c r="I170" s="22">
        <v>2.4500000000000002</v>
      </c>
      <c r="J170" s="5">
        <v>13.51</v>
      </c>
      <c r="K170" s="5">
        <v>4.5999999999999996</v>
      </c>
      <c r="L170" s="5">
        <v>30.65</v>
      </c>
      <c r="M170" s="5">
        <v>59.31</v>
      </c>
      <c r="N170" s="5">
        <v>24.28</v>
      </c>
      <c r="O170" s="5">
        <v>40.42</v>
      </c>
      <c r="P170" s="5">
        <v>53.64</v>
      </c>
      <c r="Q170" s="5">
        <v>5.94</v>
      </c>
      <c r="R170" s="23"/>
      <c r="S170" s="20">
        <v>1751.6801376342801</v>
      </c>
      <c r="T170" s="15" t="str">
        <f t="shared" si="2"/>
        <v>https://weather.covercrop-data.org/daily?lat=39.1963272094726&amp;lon=-75.8491134643554&amp;start=2018-08-12&amp;end=2019-04-08&amp;gddbase=4&amp;gddmin=0&amp;stats=sum(gdd)&amp;output=html</v>
      </c>
    </row>
    <row r="171" spans="1:20" x14ac:dyDescent="0.25">
      <c r="A171" s="6">
        <v>39.203014373779297</v>
      </c>
      <c r="B171" s="3">
        <v>-75.853736877441406</v>
      </c>
      <c r="C171" s="2" t="s">
        <v>66</v>
      </c>
      <c r="D171" s="4">
        <v>43689</v>
      </c>
      <c r="E171" s="4">
        <v>43563</v>
      </c>
      <c r="F171" s="4" t="s">
        <v>139</v>
      </c>
      <c r="G171" s="2" t="s">
        <v>67</v>
      </c>
      <c r="H171" s="2">
        <v>1</v>
      </c>
      <c r="I171" s="22">
        <v>2.98</v>
      </c>
      <c r="J171" s="5">
        <v>22.88</v>
      </c>
      <c r="K171" s="5">
        <v>9.23</v>
      </c>
      <c r="L171" s="5">
        <v>26.92</v>
      </c>
      <c r="M171" s="5">
        <v>50.7</v>
      </c>
      <c r="N171" s="5">
        <v>17.760000000000002</v>
      </c>
      <c r="O171" s="5">
        <v>46.25</v>
      </c>
      <c r="P171" s="5">
        <v>48.7</v>
      </c>
      <c r="Q171" s="5">
        <v>5.0599999999999996</v>
      </c>
      <c r="R171" s="23"/>
      <c r="S171" s="20">
        <v>1751.6801376342801</v>
      </c>
      <c r="T171" s="15" t="str">
        <f t="shared" si="2"/>
        <v>https://weather.covercrop-data.org/daily?lat=39.2030143737793&amp;lon=-75.8537368774414&amp;start=2019-08-12&amp;end=2019-04-08&amp;gddbase=4&amp;gddmin=0&amp;stats=sum(gdd)&amp;output=html</v>
      </c>
    </row>
    <row r="172" spans="1:20" x14ac:dyDescent="0.25">
      <c r="A172" s="6">
        <v>39.203014373779297</v>
      </c>
      <c r="B172" s="3">
        <v>-75.853736877441406</v>
      </c>
      <c r="C172" s="2" t="s">
        <v>66</v>
      </c>
      <c r="D172" s="4">
        <v>43689</v>
      </c>
      <c r="E172" s="4">
        <v>43563</v>
      </c>
      <c r="F172" s="4" t="s">
        <v>139</v>
      </c>
      <c r="G172" s="2" t="s">
        <v>67</v>
      </c>
      <c r="H172" s="2">
        <v>2</v>
      </c>
      <c r="I172" s="22">
        <v>2.73</v>
      </c>
      <c r="J172" s="5">
        <v>19.75</v>
      </c>
      <c r="K172" s="5">
        <v>6.99</v>
      </c>
      <c r="L172" s="5">
        <v>28.07</v>
      </c>
      <c r="M172" s="5">
        <v>56.13</v>
      </c>
      <c r="N172" s="5">
        <v>18.329999999999998</v>
      </c>
      <c r="O172" s="5">
        <v>42.1</v>
      </c>
      <c r="P172" s="5">
        <v>52.68</v>
      </c>
      <c r="Q172" s="5">
        <v>5.22</v>
      </c>
      <c r="R172" s="23"/>
      <c r="S172" s="20">
        <v>1751.6801376342801</v>
      </c>
      <c r="T172" s="15" t="str">
        <f t="shared" si="2"/>
        <v>https://weather.covercrop-data.org/daily?lat=39.2030143737793&amp;lon=-75.8537368774414&amp;start=2019-08-12&amp;end=2019-04-08&amp;gddbase=4&amp;gddmin=0&amp;stats=sum(gdd)&amp;output=html</v>
      </c>
    </row>
    <row r="173" spans="1:20" x14ac:dyDescent="0.25">
      <c r="A173" s="6">
        <v>39.219615936279297</v>
      </c>
      <c r="B173" s="3">
        <v>-75.831619262695298</v>
      </c>
      <c r="C173" s="2" t="s">
        <v>66</v>
      </c>
      <c r="D173" s="4">
        <v>43008</v>
      </c>
      <c r="E173" s="4">
        <v>43201</v>
      </c>
      <c r="F173" s="4" t="s">
        <v>139</v>
      </c>
      <c r="G173" s="2" t="s">
        <v>88</v>
      </c>
      <c r="H173" s="2">
        <v>1</v>
      </c>
      <c r="I173" s="22">
        <v>2.87</v>
      </c>
      <c r="J173" s="5">
        <v>18.96</v>
      </c>
      <c r="K173" s="5">
        <v>7.32</v>
      </c>
      <c r="L173" s="5">
        <v>21.84</v>
      </c>
      <c r="M173" s="5">
        <v>41.08</v>
      </c>
      <c r="N173" s="5">
        <v>29.77</v>
      </c>
      <c r="O173" s="5">
        <v>55.68</v>
      </c>
      <c r="P173" s="5">
        <v>39.72</v>
      </c>
      <c r="Q173" s="5">
        <v>4.6100000000000003</v>
      </c>
      <c r="R173" s="23"/>
      <c r="S173" s="20">
        <v>822.92509698867798</v>
      </c>
      <c r="T173" s="15" t="str">
        <f t="shared" si="2"/>
        <v>https://weather.covercrop-data.org/daily?lat=39.2196159362793&amp;lon=-75.8316192626953&amp;start=2017-09-30&amp;end=2018-04-11&amp;gddbase=4&amp;gddmin=0&amp;stats=sum(gdd)&amp;output=html</v>
      </c>
    </row>
    <row r="174" spans="1:20" x14ac:dyDescent="0.25">
      <c r="A174" s="6">
        <v>39.219615936279297</v>
      </c>
      <c r="B174" s="3">
        <v>-75.831619262695298</v>
      </c>
      <c r="C174" s="2" t="s">
        <v>66</v>
      </c>
      <c r="D174" s="4">
        <v>43008</v>
      </c>
      <c r="E174" s="4">
        <v>43201</v>
      </c>
      <c r="F174" s="4" t="s">
        <v>139</v>
      </c>
      <c r="G174" s="2" t="s">
        <v>88</v>
      </c>
      <c r="H174" s="2">
        <v>2</v>
      </c>
      <c r="I174" s="22">
        <v>3.24</v>
      </c>
      <c r="J174" s="5">
        <v>20.260000000000002</v>
      </c>
      <c r="K174" s="5">
        <v>5.76</v>
      </c>
      <c r="L174" s="5">
        <v>20.59</v>
      </c>
      <c r="M174" s="5">
        <v>38.75</v>
      </c>
      <c r="N174" s="5">
        <v>31.99</v>
      </c>
      <c r="O174" s="5">
        <v>58.88</v>
      </c>
      <c r="P174" s="5">
        <v>36.71</v>
      </c>
      <c r="Q174" s="5">
        <v>4.4000000000000004</v>
      </c>
      <c r="R174" s="23"/>
      <c r="S174" s="20">
        <v>822.92509698867798</v>
      </c>
      <c r="T174" s="15" t="str">
        <f t="shared" si="2"/>
        <v>https://weather.covercrop-data.org/daily?lat=39.2196159362793&amp;lon=-75.8316192626953&amp;start=2017-09-30&amp;end=2018-04-11&amp;gddbase=4&amp;gddmin=0&amp;stats=sum(gdd)&amp;output=html</v>
      </c>
    </row>
    <row r="175" spans="1:20" x14ac:dyDescent="0.25">
      <c r="A175" s="6">
        <v>39.737552642822202</v>
      </c>
      <c r="B175" s="3">
        <v>-76.371009826660099</v>
      </c>
      <c r="C175" s="2" t="s">
        <v>66</v>
      </c>
      <c r="D175" s="4">
        <v>43405</v>
      </c>
      <c r="E175" s="4">
        <v>43578</v>
      </c>
      <c r="F175" s="4" t="s">
        <v>144</v>
      </c>
      <c r="G175" s="2" t="s">
        <v>72</v>
      </c>
      <c r="H175" s="2">
        <v>1</v>
      </c>
      <c r="I175" s="22">
        <v>2.5099999999999998</v>
      </c>
      <c r="J175" s="5">
        <v>13.92</v>
      </c>
      <c r="K175" s="5">
        <v>8.0399999999999991</v>
      </c>
      <c r="L175" s="5">
        <v>28.97</v>
      </c>
      <c r="M175" s="5">
        <v>46.36</v>
      </c>
      <c r="N175" s="5">
        <v>32.42</v>
      </c>
      <c r="O175" s="5">
        <v>51.31</v>
      </c>
      <c r="P175" s="5">
        <v>41.79</v>
      </c>
      <c r="Q175" s="5">
        <v>6.9</v>
      </c>
      <c r="R175" s="23"/>
      <c r="S175" s="20">
        <v>454.26014137268101</v>
      </c>
      <c r="T175" s="15" t="str">
        <f t="shared" si="2"/>
        <v>https://weather.covercrop-data.org/daily?lat=39.7375526428222&amp;lon=-76.3710098266601&amp;start=2018-11-01&amp;end=2019-04-23&amp;gddbase=4&amp;gddmin=0&amp;stats=sum(gdd)&amp;output=html</v>
      </c>
    </row>
    <row r="176" spans="1:20" x14ac:dyDescent="0.25">
      <c r="A176" s="6">
        <v>39.737552642822202</v>
      </c>
      <c r="B176" s="3">
        <v>-76.371009826660099</v>
      </c>
      <c r="C176" s="2" t="s">
        <v>66</v>
      </c>
      <c r="D176" s="4">
        <v>43405</v>
      </c>
      <c r="E176" s="4">
        <v>43578</v>
      </c>
      <c r="F176" s="4" t="s">
        <v>144</v>
      </c>
      <c r="G176" s="2" t="s">
        <v>72</v>
      </c>
      <c r="H176" s="2">
        <v>2</v>
      </c>
      <c r="I176" s="22">
        <v>2.86</v>
      </c>
      <c r="J176" s="5">
        <v>17.41</v>
      </c>
      <c r="K176" s="5">
        <v>7.61</v>
      </c>
      <c r="L176" s="5">
        <v>26.28</v>
      </c>
      <c r="M176" s="5">
        <v>42.62</v>
      </c>
      <c r="N176" s="5">
        <v>32.479999999999997</v>
      </c>
      <c r="O176" s="5">
        <v>55.31</v>
      </c>
      <c r="P176" s="5">
        <v>36.83</v>
      </c>
      <c r="Q176" s="5">
        <v>7.85</v>
      </c>
      <c r="R176" s="23"/>
      <c r="S176" s="20">
        <v>454.26014137268101</v>
      </c>
      <c r="T176" s="15" t="str">
        <f t="shared" si="2"/>
        <v>https://weather.covercrop-data.org/daily?lat=39.7375526428222&amp;lon=-76.3710098266601&amp;start=2018-11-01&amp;end=2019-04-23&amp;gddbase=4&amp;gddmin=0&amp;stats=sum(gdd)&amp;output=html</v>
      </c>
    </row>
    <row r="177" spans="1:20" x14ac:dyDescent="0.25">
      <c r="A177" s="6">
        <v>40.586910247802699</v>
      </c>
      <c r="B177" s="3">
        <v>-76.789627075195298</v>
      </c>
      <c r="C177" s="2" t="s">
        <v>66</v>
      </c>
      <c r="D177" s="4">
        <v>42644</v>
      </c>
      <c r="E177" s="4">
        <v>42867</v>
      </c>
      <c r="F177" s="4" t="s">
        <v>144</v>
      </c>
      <c r="G177" s="2" t="s">
        <v>75</v>
      </c>
      <c r="H177" s="2">
        <v>1</v>
      </c>
      <c r="I177" s="22">
        <v>3.19</v>
      </c>
      <c r="J177" s="5">
        <v>18.73</v>
      </c>
      <c r="K177" s="5">
        <v>6.14</v>
      </c>
      <c r="L177" s="5">
        <v>29.6</v>
      </c>
      <c r="M177" s="5">
        <v>47.84</v>
      </c>
      <c r="N177" s="5">
        <v>27.45</v>
      </c>
      <c r="O177" s="5">
        <v>50.79</v>
      </c>
      <c r="P177" s="5">
        <v>47.33</v>
      </c>
      <c r="Q177" s="5">
        <v>1.88</v>
      </c>
      <c r="R177" s="23"/>
      <c r="S177" s="20">
        <v>911.67515754699696</v>
      </c>
      <c r="T177" s="15" t="str">
        <f t="shared" si="2"/>
        <v>https://weather.covercrop-data.org/daily?lat=40.5869102478027&amp;lon=-76.7896270751953&amp;start=2016-10-01&amp;end=2017-05-12&amp;gddbase=4&amp;gddmin=0&amp;stats=sum(gdd)&amp;output=html</v>
      </c>
    </row>
    <row r="178" spans="1:20" x14ac:dyDescent="0.25">
      <c r="A178" s="6">
        <v>40.586910247802699</v>
      </c>
      <c r="B178" s="3">
        <v>-76.789627075195298</v>
      </c>
      <c r="C178" s="2" t="s">
        <v>66</v>
      </c>
      <c r="D178" s="4">
        <v>42644</v>
      </c>
      <c r="E178" s="4">
        <v>42867</v>
      </c>
      <c r="F178" s="4" t="s">
        <v>144</v>
      </c>
      <c r="G178" s="2" t="s">
        <v>75</v>
      </c>
      <c r="H178" s="2">
        <v>2</v>
      </c>
      <c r="I178" s="22">
        <v>3.35</v>
      </c>
      <c r="J178" s="5">
        <v>21.4</v>
      </c>
      <c r="K178" s="5">
        <v>6.76</v>
      </c>
      <c r="L178" s="5">
        <v>25.28</v>
      </c>
      <c r="M178" s="5">
        <v>42.15</v>
      </c>
      <c r="N178" s="5">
        <v>29.29</v>
      </c>
      <c r="O178" s="5">
        <v>56.18</v>
      </c>
      <c r="P178" s="5">
        <v>42.34</v>
      </c>
      <c r="Q178" s="5">
        <v>1.48</v>
      </c>
      <c r="R178" s="23"/>
      <c r="S178" s="20">
        <v>911.67515754699696</v>
      </c>
      <c r="T178" s="15" t="str">
        <f t="shared" si="2"/>
        <v>https://weather.covercrop-data.org/daily?lat=40.5869102478027&amp;lon=-76.7896270751953&amp;start=2016-10-01&amp;end=2017-05-12&amp;gddbase=4&amp;gddmin=0&amp;stats=sum(gdd)&amp;output=html</v>
      </c>
    </row>
    <row r="179" spans="1:20" x14ac:dyDescent="0.25">
      <c r="A179" s="6">
        <v>40.632621765136697</v>
      </c>
      <c r="B179" s="3">
        <v>-76.655334472656193</v>
      </c>
      <c r="C179" s="2" t="s">
        <v>66</v>
      </c>
      <c r="D179" s="4">
        <v>42644</v>
      </c>
      <c r="E179" s="4">
        <v>42867</v>
      </c>
      <c r="F179" s="4" t="s">
        <v>144</v>
      </c>
      <c r="G179" s="2" t="s">
        <v>74</v>
      </c>
      <c r="H179" s="2">
        <v>1</v>
      </c>
      <c r="I179" s="22">
        <v>2.98</v>
      </c>
      <c r="J179" s="5">
        <v>14.08</v>
      </c>
      <c r="K179" s="5">
        <v>5.3</v>
      </c>
      <c r="L179" s="5">
        <v>32.85</v>
      </c>
      <c r="M179" s="5">
        <v>53.09</v>
      </c>
      <c r="N179" s="5">
        <v>28.26</v>
      </c>
      <c r="O179" s="5">
        <v>46.05</v>
      </c>
      <c r="P179" s="5">
        <v>52.09</v>
      </c>
      <c r="Q179" s="5">
        <v>1.86</v>
      </c>
      <c r="R179" s="23"/>
      <c r="S179" s="20">
        <v>884.34514188766502</v>
      </c>
      <c r="T179" s="15" t="str">
        <f t="shared" si="2"/>
        <v>https://weather.covercrop-data.org/daily?lat=40.6326217651367&amp;lon=-76.6553344726562&amp;start=2016-10-01&amp;end=2017-05-12&amp;gddbase=4&amp;gddmin=0&amp;stats=sum(gdd)&amp;output=html</v>
      </c>
    </row>
    <row r="180" spans="1:20" x14ac:dyDescent="0.25">
      <c r="A180" s="7">
        <v>40.632621765136697</v>
      </c>
      <c r="B180" s="8">
        <v>-76.655334472656193</v>
      </c>
      <c r="C180" s="1" t="s">
        <v>66</v>
      </c>
      <c r="D180" s="9">
        <v>42644</v>
      </c>
      <c r="E180" s="9">
        <v>42867</v>
      </c>
      <c r="F180" s="9" t="s">
        <v>144</v>
      </c>
      <c r="G180" s="1" t="s">
        <v>74</v>
      </c>
      <c r="H180" s="1">
        <v>2</v>
      </c>
      <c r="I180" s="24">
        <v>3.04</v>
      </c>
      <c r="J180" s="10">
        <v>12.86</v>
      </c>
      <c r="K180" s="10">
        <v>5.35</v>
      </c>
      <c r="L180" s="10">
        <v>31.43</v>
      </c>
      <c r="M180" s="10">
        <v>50.98</v>
      </c>
      <c r="N180" s="10">
        <v>31.34</v>
      </c>
      <c r="O180" s="10">
        <v>48.1</v>
      </c>
      <c r="P180" s="10">
        <v>49.69</v>
      </c>
      <c r="Q180" s="10">
        <v>2.21</v>
      </c>
      <c r="R180" s="25"/>
      <c r="S180" s="21">
        <v>884.34514188766502</v>
      </c>
      <c r="T180" s="16" t="str">
        <f t="shared" si="2"/>
        <v>https://weather.covercrop-data.org/daily?lat=40.6326217651367&amp;lon=-76.6553344726562&amp;start=2016-10-01&amp;end=2017-05-12&amp;gddbase=4&amp;gddmin=0&amp;stats=sum(gdd)&amp;output=html</v>
      </c>
    </row>
  </sheetData>
  <sortState xmlns:xlrd2="http://schemas.microsoft.com/office/spreadsheetml/2017/richdata2" ref="A2:R180">
    <sortCondition ref="C2:C180"/>
    <sortCondition ref="A2:A180"/>
    <sortCondition ref="D2:D180"/>
    <sortCondition ref="H2:H180"/>
  </sortState>
  <conditionalFormatting sqref="A3:T180">
    <cfRule type="expression" dxfId="0" priority="6">
      <formula>$T3=$T2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D813-F29D-4FFB-9C24-AB3BB7F01567}">
  <dimension ref="A1:E44"/>
  <sheetViews>
    <sheetView tabSelected="1" workbookViewId="0"/>
  </sheetViews>
  <sheetFormatPr defaultRowHeight="15" x14ac:dyDescent="0.25"/>
  <cols>
    <col min="1" max="1" width="89.42578125" bestFit="1" customWidth="1"/>
    <col min="4" max="4" width="40.28515625" bestFit="1" customWidth="1"/>
    <col min="5" max="5" width="22" bestFit="1" customWidth="1"/>
  </cols>
  <sheetData>
    <row r="1" spans="1:5" x14ac:dyDescent="0.25">
      <c r="A1" t="s">
        <v>158</v>
      </c>
      <c r="D1" s="31" t="s">
        <v>183</v>
      </c>
      <c r="E1" s="30" t="s">
        <v>187</v>
      </c>
    </row>
    <row r="2" spans="1:5" x14ac:dyDescent="0.25">
      <c r="A2" t="s">
        <v>159</v>
      </c>
      <c r="D2" s="32" t="s">
        <v>154</v>
      </c>
      <c r="E2" s="27" t="s">
        <v>184</v>
      </c>
    </row>
    <row r="3" spans="1:5" x14ac:dyDescent="0.25">
      <c r="A3" t="s">
        <v>160</v>
      </c>
      <c r="D3" s="33" t="s">
        <v>150</v>
      </c>
      <c r="E3" s="28" t="s">
        <v>188</v>
      </c>
    </row>
    <row r="4" spans="1:5" x14ac:dyDescent="0.25">
      <c r="A4" t="s">
        <v>161</v>
      </c>
      <c r="D4" s="33" t="s">
        <v>182</v>
      </c>
      <c r="E4" s="28" t="s">
        <v>189</v>
      </c>
    </row>
    <row r="5" spans="1:5" x14ac:dyDescent="0.25">
      <c r="A5" t="s">
        <v>162</v>
      </c>
      <c r="D5" s="32" t="s">
        <v>153</v>
      </c>
      <c r="E5" s="27" t="s">
        <v>153</v>
      </c>
    </row>
    <row r="6" spans="1:5" x14ac:dyDescent="0.25">
      <c r="A6" t="s">
        <v>163</v>
      </c>
      <c r="D6" s="33" t="s">
        <v>151</v>
      </c>
      <c r="E6" s="28" t="s">
        <v>153</v>
      </c>
    </row>
    <row r="7" spans="1:5" x14ac:dyDescent="0.25">
      <c r="A7" t="s">
        <v>164</v>
      </c>
      <c r="D7" s="32" t="s">
        <v>149</v>
      </c>
      <c r="E7" s="27" t="s">
        <v>185</v>
      </c>
    </row>
    <row r="8" spans="1:5" x14ac:dyDescent="0.25">
      <c r="A8" t="s">
        <v>165</v>
      </c>
      <c r="D8" s="32" t="s">
        <v>152</v>
      </c>
      <c r="E8" s="27" t="s">
        <v>152</v>
      </c>
    </row>
    <row r="9" spans="1:5" x14ac:dyDescent="0.25">
      <c r="A9" t="s">
        <v>166</v>
      </c>
      <c r="D9" s="34" t="s">
        <v>181</v>
      </c>
      <c r="E9" s="29" t="s">
        <v>186</v>
      </c>
    </row>
    <row r="10" spans="1:5" x14ac:dyDescent="0.25">
      <c r="A10" t="s">
        <v>167</v>
      </c>
    </row>
    <row r="11" spans="1:5" x14ac:dyDescent="0.25">
      <c r="A11" t="s">
        <v>168</v>
      </c>
    </row>
    <row r="12" spans="1:5" x14ac:dyDescent="0.25">
      <c r="A12" t="s">
        <v>169</v>
      </c>
    </row>
    <row r="13" spans="1:5" x14ac:dyDescent="0.25">
      <c r="A13" t="s">
        <v>170</v>
      </c>
    </row>
    <row r="14" spans="1:5" x14ac:dyDescent="0.25">
      <c r="A14" t="s">
        <v>171</v>
      </c>
    </row>
    <row r="15" spans="1:5" x14ac:dyDescent="0.25">
      <c r="A15" t="s">
        <v>172</v>
      </c>
    </row>
    <row r="16" spans="1:5" x14ac:dyDescent="0.25">
      <c r="A16" t="s">
        <v>173</v>
      </c>
    </row>
    <row r="17" spans="1:1" x14ac:dyDescent="0.25">
      <c r="A17" t="s">
        <v>174</v>
      </c>
    </row>
    <row r="18" spans="1:1" x14ac:dyDescent="0.25">
      <c r="A18" t="s">
        <v>175</v>
      </c>
    </row>
    <row r="19" spans="1:1" x14ac:dyDescent="0.25">
      <c r="A19" t="s">
        <v>176</v>
      </c>
    </row>
    <row r="20" spans="1:1" x14ac:dyDescent="0.25">
      <c r="A20" t="s">
        <v>113</v>
      </c>
    </row>
    <row r="21" spans="1:1" x14ac:dyDescent="0.25">
      <c r="A21" t="s">
        <v>114</v>
      </c>
    </row>
    <row r="22" spans="1:1" x14ac:dyDescent="0.25">
      <c r="A22" t="s">
        <v>115</v>
      </c>
    </row>
    <row r="23" spans="1:1" x14ac:dyDescent="0.25">
      <c r="A23" t="s">
        <v>180</v>
      </c>
    </row>
    <row r="24" spans="1:1" x14ac:dyDescent="0.25">
      <c r="A24" t="s">
        <v>177</v>
      </c>
    </row>
    <row r="25" spans="1:1" x14ac:dyDescent="0.25">
      <c r="A25" t="s">
        <v>178</v>
      </c>
    </row>
    <row r="26" spans="1:1" x14ac:dyDescent="0.25">
      <c r="A26" t="s">
        <v>179</v>
      </c>
    </row>
    <row r="27" spans="1:1" x14ac:dyDescent="0.25">
      <c r="A27" t="s">
        <v>116</v>
      </c>
    </row>
    <row r="28" spans="1:1" x14ac:dyDescent="0.25">
      <c r="A28" t="s">
        <v>117</v>
      </c>
    </row>
    <row r="29" spans="1:1" x14ac:dyDescent="0.25">
      <c r="A29" t="s">
        <v>118</v>
      </c>
    </row>
    <row r="30" spans="1:1" x14ac:dyDescent="0.25">
      <c r="A30" t="s">
        <v>119</v>
      </c>
    </row>
    <row r="31" spans="1:1" x14ac:dyDescent="0.25">
      <c r="A31" t="s">
        <v>120</v>
      </c>
    </row>
    <row r="32" spans="1:1" x14ac:dyDescent="0.25">
      <c r="A32" t="s">
        <v>121</v>
      </c>
    </row>
    <row r="33" spans="1:1" x14ac:dyDescent="0.25">
      <c r="A33" t="s">
        <v>122</v>
      </c>
    </row>
    <row r="34" spans="1:1" x14ac:dyDescent="0.25">
      <c r="A34" t="s">
        <v>118</v>
      </c>
    </row>
    <row r="35" spans="1:1" x14ac:dyDescent="0.25">
      <c r="A35" t="s">
        <v>123</v>
      </c>
    </row>
    <row r="36" spans="1:1" x14ac:dyDescent="0.25">
      <c r="A36" t="s">
        <v>124</v>
      </c>
    </row>
    <row r="37" spans="1:1" x14ac:dyDescent="0.25">
      <c r="A37" t="s">
        <v>125</v>
      </c>
    </row>
    <row r="38" spans="1:1" x14ac:dyDescent="0.25">
      <c r="A38" t="s">
        <v>122</v>
      </c>
    </row>
    <row r="39" spans="1:1" x14ac:dyDescent="0.25">
      <c r="A39" t="s">
        <v>118</v>
      </c>
    </row>
    <row r="40" spans="1:1" x14ac:dyDescent="0.25">
      <c r="A40" t="s">
        <v>126</v>
      </c>
    </row>
    <row r="41" spans="1:1" x14ac:dyDescent="0.25">
      <c r="A41" t="s">
        <v>127</v>
      </c>
    </row>
    <row r="42" spans="1:1" x14ac:dyDescent="0.25">
      <c r="A42" t="s">
        <v>128</v>
      </c>
    </row>
    <row r="43" spans="1:1" x14ac:dyDescent="0.25">
      <c r="A43" t="s">
        <v>122</v>
      </c>
    </row>
    <row r="44" spans="1:1" x14ac:dyDescent="0.25">
      <c r="A44" t="s">
        <v>129</v>
      </c>
    </row>
  </sheetData>
  <sortState xmlns:xlrd2="http://schemas.microsoft.com/office/spreadsheetml/2017/richdata2" ref="D2:D9">
    <sortCondition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Neil Hitchcock</dc:creator>
  <cp:lastModifiedBy>Richard Neil Hitchcock</cp:lastModifiedBy>
  <dcterms:created xsi:type="dcterms:W3CDTF">2024-05-30T13:42:43Z</dcterms:created>
  <dcterms:modified xsi:type="dcterms:W3CDTF">2024-12-04T13:47:35Z</dcterms:modified>
</cp:coreProperties>
</file>