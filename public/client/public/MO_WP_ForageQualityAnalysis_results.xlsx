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alfresco.noble.org/alfresco/aos/Sites/bhamidimarri-lab/documentLibrary/Projects/LCCB/Advanced line trials/19OK_Advanced_Line_Trials/Forage quality analysis 2019/Missouri/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<sst xmlns="http://schemas.openxmlformats.org/spreadsheetml/2006/main" count="326" uniqueCount="99">
  <si>
    <t>ProjectName</t>
  </si>
  <si>
    <t>ExperimentName</t>
  </si>
  <si>
    <t>ForageSampleID</t>
  </si>
  <si>
    <t>ExperimentID</t>
  </si>
  <si>
    <t>NFLabID</t>
  </si>
  <si>
    <t>Status</t>
  </si>
  <si>
    <t>SampleDescription</t>
  </si>
  <si>
    <t>DateSampleCollected</t>
  </si>
  <si>
    <t>BudgetCode</t>
  </si>
  <si>
    <t>Crop</t>
  </si>
  <si>
    <t>Row</t>
  </si>
  <si>
    <t>Range</t>
  </si>
  <si>
    <t>Plot</t>
  </si>
  <si>
    <t>Location</t>
  </si>
  <si>
    <t>PI</t>
  </si>
  <si>
    <t>Year</t>
  </si>
  <si>
    <t>Comments</t>
  </si>
  <si>
    <t>EntityID</t>
  </si>
  <si>
    <t>ForageSampleDescription</t>
  </si>
  <si>
    <t>DateSampleReceived</t>
  </si>
  <si>
    <t>CrudeProtein PDB</t>
  </si>
  <si>
    <t>DryMatter PAR</t>
  </si>
  <si>
    <t>Ca PDB</t>
  </si>
  <si>
    <t>P PDB</t>
  </si>
  <si>
    <t>K PDB</t>
  </si>
  <si>
    <t>Mg PDB</t>
  </si>
  <si>
    <t>ADF PDB</t>
  </si>
  <si>
    <t>NDF PDB</t>
  </si>
  <si>
    <t>RFV</t>
  </si>
  <si>
    <t>TDN PDB</t>
  </si>
  <si>
    <t>Lignin PDB</t>
  </si>
  <si>
    <t>IVTDMD</t>
  </si>
  <si>
    <t>Fat PDB</t>
  </si>
  <si>
    <t>Ash PDB</t>
  </si>
  <si>
    <t>dNDF48 PDB</t>
  </si>
  <si>
    <t>Starch PDB</t>
  </si>
  <si>
    <t>Fructan PDB</t>
  </si>
  <si>
    <t>WSC PDB</t>
  </si>
  <si>
    <t>FFAR Winter Pea ALT forage quality analysis</t>
  </si>
  <si>
    <t>R</t>
  </si>
  <si>
    <t>19MOWP-1-2</t>
  </si>
  <si>
    <t>414-603</t>
  </si>
  <si>
    <t>Winter Pea</t>
  </si>
  <si>
    <t>102</t>
  </si>
  <si>
    <t>MO</t>
  </si>
  <si>
    <t>Mike Trammell</t>
  </si>
  <si>
    <t>Harvest 2</t>
  </si>
  <si>
    <t>19MOWP-1-6</t>
  </si>
  <si>
    <t>106</t>
  </si>
  <si>
    <t>19MOWP-1-7</t>
  </si>
  <si>
    <t>107</t>
  </si>
  <si>
    <t>19MOWP-1-9</t>
  </si>
  <si>
    <t>109</t>
  </si>
  <si>
    <t>19MOWP-2-2</t>
  </si>
  <si>
    <t>111</t>
  </si>
  <si>
    <t>I</t>
  </si>
  <si>
    <t>19MOWP-2-6</t>
  </si>
  <si>
    <t>115</t>
  </si>
  <si>
    <t>19MOWP-2-7</t>
  </si>
  <si>
    <t>116</t>
  </si>
  <si>
    <t>19MOWP-3-1</t>
  </si>
  <si>
    <t>201</t>
  </si>
  <si>
    <t>19MOWP-3-2</t>
  </si>
  <si>
    <t>202</t>
  </si>
  <si>
    <t>19MOWP-3-5</t>
  </si>
  <si>
    <t>205</t>
  </si>
  <si>
    <t>19MOWP-3-6</t>
  </si>
  <si>
    <t>206</t>
  </si>
  <si>
    <t>19MOWP-4-5</t>
  </si>
  <si>
    <t>214</t>
  </si>
  <si>
    <t>19MOWP-5-1</t>
  </si>
  <si>
    <t>301</t>
  </si>
  <si>
    <t>19MOWP-5-3</t>
  </si>
  <si>
    <t>303</t>
  </si>
  <si>
    <t>19MOWP-5-6</t>
  </si>
  <si>
    <t>306</t>
  </si>
  <si>
    <t>19MOWP-5-7</t>
  </si>
  <si>
    <t>307</t>
  </si>
  <si>
    <t>19MOWP-6-1</t>
  </si>
  <si>
    <t>310</t>
  </si>
  <si>
    <t>19MOWP-6-2</t>
  </si>
  <si>
    <t>311</t>
  </si>
  <si>
    <t>19MOWP-6-9</t>
  </si>
  <si>
    <t>318</t>
  </si>
  <si>
    <t>19MOWP-7-1</t>
  </si>
  <si>
    <t>401</t>
  </si>
  <si>
    <t>19MOWP-7-7</t>
  </si>
  <si>
    <t>407</t>
  </si>
  <si>
    <t>19MOWP-7-8</t>
  </si>
  <si>
    <t>408</t>
  </si>
  <si>
    <t>19MOWP-8-1</t>
  </si>
  <si>
    <t>410</t>
  </si>
  <si>
    <t>19MOWP-8-2</t>
  </si>
  <si>
    <t>411</t>
  </si>
  <si>
    <t>19MOWP-8-5</t>
  </si>
  <si>
    <t>414</t>
  </si>
  <si>
    <t>.</t>
  </si>
  <si>
    <t>Line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</si>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</sst>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\-0;."/>
    <numFmt numFmtId="165" formatCode="0.00;\-0.00;.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"/>
  <sheetViews>
    <sheetView tabSelected="1" workbookViewId="0">
      <selection activeCell="U35" sqref="U35"/>
    </sheetView>
  </sheetViews>
  <sheetFormatPr defaultRowHeight="15" x14ac:dyDescent="0.25"/>
  <cols>
    <col min="1" max="1" width="40.42578125" bestFit="1" customWidth="1"/>
    <col min="2" max="2" width="35.7109375" bestFit="1" customWidth="1"/>
    <col min="3" max="3" width="15.5703125" style="3" bestFit="1" customWidth="1"/>
    <col min="4" max="4" width="13.28515625" style="3" bestFit="1" customWidth="1"/>
    <col min="5" max="5" width="8.28515625" bestFit="1" customWidth="1"/>
    <col min="6" max="6" width="6.42578125" bestFit="1" customWidth="1"/>
    <col min="7" max="7" width="18" bestFit="1" customWidth="1"/>
    <col min="8" max="8" width="20.42578125" style="5" bestFit="1" customWidth="1"/>
    <col min="9" max="9" width="11.85546875" bestFit="1" customWidth="1"/>
    <col min="10" max="10" width="10.85546875" bestFit="1" customWidth="1"/>
    <col min="11" max="11" width="4.85546875" style="3" bestFit="1" customWidth="1"/>
    <col min="12" max="12" width="6.42578125" style="3" bestFit="1" customWidth="1"/>
    <col min="13" max="13" width="4.5703125" bestFit="1" customWidth="1"/>
    <col min="14" max="14" width="8.42578125" bestFit="1" customWidth="1"/>
    <col min="15" max="15" width="4.7109375" bestFit="1" customWidth="1"/>
    <col min="16" max="16" width="5.5703125" style="3" bestFit="1" customWidth="1"/>
    <col min="17" max="17" width="14.42578125" bestFit="1" customWidth="1"/>
    <col min="18" max="18" width="5" style="3" bestFit="1" customWidth="1"/>
    <col min="19" max="19" width="10.5703125" bestFit="1" customWidth="1"/>
    <col min="20" max="20" width="8" style="5" bestFit="1" customWidth="1"/>
    <col min="21" max="21" width="24.140625" style="7" bestFit="1" customWidth="1"/>
    <col min="22" max="22" width="20.140625" style="7" bestFit="1" customWidth="1"/>
    <col min="23" max="23" width="17" style="7" bestFit="1" customWidth="1"/>
    <col min="24" max="24" width="14.28515625" style="7" bestFit="1" customWidth="1"/>
    <col min="25" max="25" width="7.140625" style="7" bestFit="1" customWidth="1"/>
    <col min="26" max="27" width="6.140625" style="7" bestFit="1" customWidth="1"/>
    <col min="28" max="28" width="7.85546875" style="7" bestFit="1" customWidth="1"/>
    <col min="29" max="29" width="8.5703125" style="7" bestFit="1" customWidth="1"/>
    <col min="30" max="30" width="8.7109375" style="7" bestFit="1" customWidth="1"/>
    <col min="31" max="31" width="6.5703125" style="7" bestFit="1" customWidth="1"/>
    <col min="32" max="32" width="8.7109375" style="7" bestFit="1" customWidth="1"/>
    <col min="33" max="33" width="10.28515625" style="7" bestFit="1" customWidth="1"/>
    <col min="34" max="34" width="8.28515625" style="7" bestFit="1" customWidth="1"/>
    <col min="35" max="35" width="7.7109375" style="7" bestFit="1" customWidth="1"/>
    <col min="36" max="36" width="8.28515625" style="7" bestFit="1" customWidth="1"/>
    <col min="37" max="37" width="11.85546875" style="7" bestFit="1" customWidth="1"/>
    <col min="38" max="38" width="10.42578125" style="7" bestFit="1" customWidth="1"/>
    <col min="39" max="39" width="11.5703125" bestFit="1" customWidth="1"/>
  </cols>
  <sheetData>
    <row r="1" spans="1:40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97</v>
      </c>
      <c r="P1" s="3" t="s">
        <v>98</v>
      </c>
      <c r="Q1" s="1" t="s">
        <v>14</v>
      </c>
      <c r="R1" s="2" t="s">
        <v>15</v>
      </c>
      <c r="S1" s="1" t="s">
        <v>16</v>
      </c>
      <c r="T1" s="2" t="s">
        <v>17</v>
      </c>
      <c r="U1" s="1" t="s">
        <v>18</v>
      </c>
      <c r="V1" s="4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</row>
    <row r="2" spans="1:40" x14ac:dyDescent="0.25">
      <c r="A2" t="s">
        <v>38</v>
      </c>
      <c r="B2" s="8" t="str">
        <f t="shared" ref="B2:B26" si="0">HYPERLINK("https://nfapps.noble.org/ForageAnalysis/Default.aspx?ExperimentID=18904", "2019 Winter pea ALT samples from MO")</f>
        <v>2019 Winter pea ALT samples from MO</v>
      </c>
      <c r="C2" s="3">
        <v>453376</v>
      </c>
      <c r="D2" s="3">
        <v>18904</v>
      </c>
      <c r="E2">
        <v>322132</v>
      </c>
      <c r="F2" t="s">
        <v>39</v>
      </c>
      <c r="G2" t="s">
        <v>40</v>
      </c>
      <c r="H2" s="5">
        <v>43734</v>
      </c>
      <c r="I2" t="s">
        <v>41</v>
      </c>
      <c r="J2" t="s">
        <v>42</v>
      </c>
      <c r="K2" s="3">
        <v>2</v>
      </c>
      <c r="L2" s="3">
        <v>1</v>
      </c>
      <c r="M2" t="s">
        <v>43</v>
      </c>
      <c r="N2" t="s">
        <v>44</v>
      </c>
      <c r="Q2" t="s">
        <v>45</v>
      </c>
      <c r="R2" s="3">
        <v>2019</v>
      </c>
      <c r="S2" t="s">
        <v>46</v>
      </c>
      <c r="T2" s="3">
        <v>7148</v>
      </c>
      <c r="U2" t="s">
        <v>40</v>
      </c>
      <c r="V2" s="5">
        <v>43734</v>
      </c>
      <c r="W2" s="7">
        <v>11.479999542236328</v>
      </c>
      <c r="X2" s="7">
        <v>91.360000610351563</v>
      </c>
      <c r="Y2" s="7">
        <v>1.1200000047683716</v>
      </c>
      <c r="Z2" s="7">
        <v>0.17000000178813934</v>
      </c>
      <c r="AA2" s="7">
        <v>1.3600000143051147</v>
      </c>
      <c r="AB2" s="7">
        <v>0.25</v>
      </c>
      <c r="AC2" s="7">
        <v>32.799999237060547</v>
      </c>
      <c r="AD2" s="7">
        <v>45.919998168945313</v>
      </c>
      <c r="AE2" s="7">
        <v>128.33999633789063</v>
      </c>
      <c r="AF2" s="7">
        <v>58.630001068115234</v>
      </c>
      <c r="AG2" s="7">
        <v>6.5999999046325684</v>
      </c>
      <c r="AH2" s="7">
        <v>72.519996643066406</v>
      </c>
      <c r="AI2" s="7">
        <v>1.9600000381469727</v>
      </c>
      <c r="AJ2" s="7">
        <v>4.1500000953674316</v>
      </c>
      <c r="AK2" s="7">
        <v>19.360000610351563</v>
      </c>
      <c r="AL2" s="7">
        <v>5.8400001525878906</v>
      </c>
      <c r="AM2" s="7">
        <v>1.8899999856948853</v>
      </c>
      <c r="AN2" s="7">
        <v>10.770000457763672</v>
      </c>
    </row>
    <row r="3" spans="1:40" x14ac:dyDescent="0.25">
      <c r="A3" t="s">
        <v>38</v>
      </c>
      <c r="B3" s="8" t="str">
        <f t="shared" si="0"/>
        <v>2019 Winter pea ALT samples from MO</v>
      </c>
      <c r="C3" s="3">
        <v>453377</v>
      </c>
      <c r="D3" s="3">
        <v>18904</v>
      </c>
      <c r="E3">
        <v>322133</v>
      </c>
      <c r="F3" t="s">
        <v>39</v>
      </c>
      <c r="G3" t="s">
        <v>47</v>
      </c>
      <c r="H3" s="5">
        <v>43734</v>
      </c>
      <c r="I3" t="s">
        <v>41</v>
      </c>
      <c r="J3" t="s">
        <v>42</v>
      </c>
      <c r="K3" s="3">
        <v>6</v>
      </c>
      <c r="L3" s="3">
        <v>1</v>
      </c>
      <c r="M3" t="s">
        <v>48</v>
      </c>
      <c r="N3" t="s">
        <v>44</v>
      </c>
      <c r="Q3" t="s">
        <v>45</v>
      </c>
      <c r="R3" s="3">
        <v>2019</v>
      </c>
      <c r="S3" t="s">
        <v>46</v>
      </c>
      <c r="T3" s="3">
        <v>7148</v>
      </c>
      <c r="U3" t="s">
        <v>47</v>
      </c>
      <c r="V3" s="5">
        <v>43734</v>
      </c>
      <c r="W3" s="7">
        <v>15.770000457763672</v>
      </c>
      <c r="X3" s="7">
        <v>91.580001831054688</v>
      </c>
      <c r="Y3" s="7">
        <v>1.6699999570846558</v>
      </c>
      <c r="Z3" s="7">
        <v>0.20999999344348907</v>
      </c>
      <c r="AA3" s="7">
        <v>1.5700000524520874</v>
      </c>
      <c r="AB3" s="7">
        <v>0.31999999284744263</v>
      </c>
      <c r="AC3" s="7">
        <v>26.620000839233398</v>
      </c>
      <c r="AD3" s="7">
        <v>37.200000762939453</v>
      </c>
      <c r="AE3" s="7">
        <v>170.41999816894531</v>
      </c>
      <c r="AF3" s="7">
        <v>65.730003356933594</v>
      </c>
      <c r="AG3" s="7">
        <v>6.559999942779541</v>
      </c>
      <c r="AH3" s="7">
        <v>78.80999755859375</v>
      </c>
      <c r="AI3" s="7">
        <v>2.3399999141693115</v>
      </c>
      <c r="AJ3" s="7">
        <v>8.2899999618530273</v>
      </c>
      <c r="AK3" s="7">
        <v>17.920000076293945</v>
      </c>
      <c r="AL3" s="7">
        <v>3.6700000762939453</v>
      </c>
      <c r="AM3" s="7">
        <v>2.2599999904632568</v>
      </c>
      <c r="AN3" s="7">
        <v>13.310000419616699</v>
      </c>
    </row>
    <row r="4" spans="1:40" x14ac:dyDescent="0.25">
      <c r="A4" t="s">
        <v>38</v>
      </c>
      <c r="B4" s="8" t="str">
        <f t="shared" si="0"/>
        <v>2019 Winter pea ALT samples from MO</v>
      </c>
      <c r="C4" s="3">
        <v>453378</v>
      </c>
      <c r="D4" s="3">
        <v>18904</v>
      </c>
      <c r="E4">
        <v>322134</v>
      </c>
      <c r="F4" t="s">
        <v>39</v>
      </c>
      <c r="G4" t="s">
        <v>49</v>
      </c>
      <c r="H4" s="5">
        <v>43734</v>
      </c>
      <c r="I4" t="s">
        <v>41</v>
      </c>
      <c r="J4" t="s">
        <v>42</v>
      </c>
      <c r="K4" s="3">
        <v>7</v>
      </c>
      <c r="L4" s="3">
        <v>1</v>
      </c>
      <c r="M4" t="s">
        <v>50</v>
      </c>
      <c r="N4" t="s">
        <v>44</v>
      </c>
      <c r="Q4" t="s">
        <v>45</v>
      </c>
      <c r="R4" s="3">
        <v>2019</v>
      </c>
      <c r="S4" t="s">
        <v>46</v>
      </c>
      <c r="T4" s="3">
        <v>7148</v>
      </c>
      <c r="U4" t="s">
        <v>49</v>
      </c>
      <c r="V4" s="5">
        <v>43734</v>
      </c>
      <c r="W4" s="7">
        <v>16.139999389648438</v>
      </c>
      <c r="X4" s="7">
        <v>91.800003051757813</v>
      </c>
      <c r="Y4" s="7">
        <v>1.3500000238418579</v>
      </c>
      <c r="Z4" s="7">
        <v>0.23000000417232513</v>
      </c>
      <c r="AA4" s="7">
        <v>1.4600000381469727</v>
      </c>
      <c r="AB4" s="7">
        <v>0.2800000011920929</v>
      </c>
      <c r="AC4" s="7">
        <v>19.920000076293945</v>
      </c>
      <c r="AD4" s="7">
        <v>30.879999160766602</v>
      </c>
      <c r="AE4" s="7">
        <v>221.02000427246094</v>
      </c>
      <c r="AF4" s="7">
        <v>73.44000244140625</v>
      </c>
      <c r="AG4" s="7">
        <v>4.619999885559082</v>
      </c>
      <c r="AH4" s="7">
        <v>85</v>
      </c>
      <c r="AI4" s="7">
        <v>2.3399999141693115</v>
      </c>
      <c r="AJ4" s="7">
        <v>6.4600000381469727</v>
      </c>
      <c r="AK4" s="7">
        <v>18.110000610351563</v>
      </c>
      <c r="AL4" s="7">
        <v>9.9799995422363281</v>
      </c>
      <c r="AM4" s="7">
        <v>2.4000000953674316</v>
      </c>
      <c r="AN4" s="7">
        <v>15.399999618530273</v>
      </c>
    </row>
    <row r="5" spans="1:40" x14ac:dyDescent="0.25">
      <c r="A5" t="s">
        <v>38</v>
      </c>
      <c r="B5" s="8" t="str">
        <f t="shared" si="0"/>
        <v>2019 Winter pea ALT samples from MO</v>
      </c>
      <c r="C5" s="3">
        <v>453379</v>
      </c>
      <c r="D5" s="3">
        <v>18904</v>
      </c>
      <c r="E5">
        <v>322135</v>
      </c>
      <c r="F5" t="s">
        <v>39</v>
      </c>
      <c r="G5" t="s">
        <v>51</v>
      </c>
      <c r="H5" s="5">
        <v>43734</v>
      </c>
      <c r="I5" t="s">
        <v>41</v>
      </c>
      <c r="J5" t="s">
        <v>42</v>
      </c>
      <c r="K5" s="3">
        <v>9</v>
      </c>
      <c r="L5" s="3">
        <v>1</v>
      </c>
      <c r="M5" t="s">
        <v>52</v>
      </c>
      <c r="N5" t="s">
        <v>44</v>
      </c>
      <c r="Q5" t="s">
        <v>45</v>
      </c>
      <c r="R5" s="3">
        <v>2019</v>
      </c>
      <c r="S5" t="s">
        <v>46</v>
      </c>
      <c r="T5" s="3">
        <v>7148</v>
      </c>
      <c r="U5" t="s">
        <v>51</v>
      </c>
      <c r="V5" s="5">
        <v>43734</v>
      </c>
      <c r="W5" s="7">
        <v>15.140000343322754</v>
      </c>
      <c r="X5" s="7">
        <v>91.949996948242188</v>
      </c>
      <c r="Y5" s="7">
        <v>1.5900000333786011</v>
      </c>
      <c r="Z5" s="7">
        <v>0.28999999165534973</v>
      </c>
      <c r="AA5" s="7">
        <v>1.1399999856948853</v>
      </c>
      <c r="AB5" s="7">
        <v>0.28999999165534973</v>
      </c>
      <c r="AC5" s="7">
        <v>23.030000686645508</v>
      </c>
      <c r="AD5" s="7">
        <v>35.310001373291016</v>
      </c>
      <c r="AE5" s="7">
        <v>186.92999267578125</v>
      </c>
      <c r="AF5" s="7">
        <v>69.870002746582031</v>
      </c>
      <c r="AG5" s="7">
        <v>5.1399998664855957</v>
      </c>
      <c r="AH5" s="7">
        <v>83.540000915527344</v>
      </c>
      <c r="AI5" s="7">
        <v>2.369999885559082</v>
      </c>
      <c r="AJ5" s="7">
        <v>7</v>
      </c>
      <c r="AK5" s="7">
        <v>23.100000381469727</v>
      </c>
      <c r="AL5" s="7">
        <v>5.6999998092651367</v>
      </c>
      <c r="AM5" s="7">
        <v>2.3499999046325684</v>
      </c>
      <c r="AN5" s="7">
        <v>17.590000152587891</v>
      </c>
    </row>
    <row r="6" spans="1:40" x14ac:dyDescent="0.25">
      <c r="A6" t="s">
        <v>38</v>
      </c>
      <c r="B6" s="8" t="str">
        <f t="shared" si="0"/>
        <v>2019 Winter pea ALT samples from MO</v>
      </c>
      <c r="C6" s="3">
        <v>453380</v>
      </c>
      <c r="D6" s="3">
        <v>18904</v>
      </c>
      <c r="E6">
        <v>322136</v>
      </c>
      <c r="F6" t="s">
        <v>39</v>
      </c>
      <c r="G6" t="s">
        <v>53</v>
      </c>
      <c r="H6" s="5">
        <v>43734</v>
      </c>
      <c r="I6" t="s">
        <v>41</v>
      </c>
      <c r="J6" t="s">
        <v>42</v>
      </c>
      <c r="K6" s="3">
        <v>2</v>
      </c>
      <c r="L6" s="3">
        <v>2</v>
      </c>
      <c r="M6" t="s">
        <v>54</v>
      </c>
      <c r="N6" t="s">
        <v>44</v>
      </c>
      <c r="Q6" t="s">
        <v>45</v>
      </c>
      <c r="R6" s="3">
        <v>2019</v>
      </c>
      <c r="S6" t="s">
        <v>46</v>
      </c>
      <c r="T6" s="3">
        <v>7148</v>
      </c>
      <c r="U6" t="s">
        <v>53</v>
      </c>
      <c r="V6" s="5">
        <v>43734</v>
      </c>
      <c r="W6" s="7">
        <v>13.619999885559082</v>
      </c>
      <c r="X6" s="7">
        <v>91.699996948242188</v>
      </c>
      <c r="Y6" s="7">
        <v>1.559999942779541</v>
      </c>
      <c r="Z6" s="7">
        <v>0.18999999761581421</v>
      </c>
      <c r="AA6" s="7">
        <v>1.3700000047683716</v>
      </c>
      <c r="AB6" s="7">
        <v>0.31000000238418579</v>
      </c>
      <c r="AC6" s="7">
        <v>25.829999923706055</v>
      </c>
      <c r="AD6" s="7">
        <v>38.189998626708984</v>
      </c>
      <c r="AE6" s="7">
        <v>167.55000305175781</v>
      </c>
      <c r="AF6" s="7">
        <v>66.639999389648438</v>
      </c>
      <c r="AG6" s="7">
        <v>6.0799999237060547</v>
      </c>
      <c r="AH6" s="7">
        <v>79.279998779296875</v>
      </c>
      <c r="AI6" s="7">
        <v>2.369999885559082</v>
      </c>
      <c r="AJ6" s="7">
        <v>7.119999885559082</v>
      </c>
      <c r="AK6" s="7">
        <v>19.770000457763672</v>
      </c>
      <c r="AL6" s="7">
        <v>5.059999942779541</v>
      </c>
      <c r="AM6" s="7">
        <v>2.2400000095367432</v>
      </c>
      <c r="AN6" s="7">
        <v>13.630000114440918</v>
      </c>
    </row>
    <row r="7" spans="1:40" x14ac:dyDescent="0.25">
      <c r="A7" t="s">
        <v>38</v>
      </c>
      <c r="B7" s="8" t="str">
        <f t="shared" si="0"/>
        <v>2019 Winter pea ALT samples from MO</v>
      </c>
      <c r="C7" s="3">
        <v>453381</v>
      </c>
      <c r="D7" s="3">
        <v>18904</v>
      </c>
      <c r="E7">
        <v>322137</v>
      </c>
      <c r="F7" t="s">
        <v>55</v>
      </c>
      <c r="G7" t="s">
        <v>56</v>
      </c>
      <c r="H7" s="5">
        <v>43734</v>
      </c>
      <c r="I7" t="s">
        <v>41</v>
      </c>
      <c r="J7" t="s">
        <v>42</v>
      </c>
      <c r="K7" s="3">
        <v>6</v>
      </c>
      <c r="L7" s="3">
        <v>2</v>
      </c>
      <c r="M7" t="s">
        <v>57</v>
      </c>
      <c r="N7" t="s">
        <v>44</v>
      </c>
      <c r="Q7" t="s">
        <v>45</v>
      </c>
      <c r="R7" s="3">
        <v>2019</v>
      </c>
      <c r="S7" t="s">
        <v>46</v>
      </c>
      <c r="T7" s="3">
        <v>7148</v>
      </c>
      <c r="U7" t="s">
        <v>56</v>
      </c>
      <c r="V7" s="5">
        <v>43734</v>
      </c>
      <c r="W7" s="7" t="s">
        <v>96</v>
      </c>
      <c r="X7" s="7" t="s">
        <v>96</v>
      </c>
      <c r="Y7" s="7" t="s">
        <v>96</v>
      </c>
      <c r="Z7" s="7" t="s">
        <v>96</v>
      </c>
      <c r="AA7" s="7" t="s">
        <v>96</v>
      </c>
      <c r="AB7" s="7" t="s">
        <v>96</v>
      </c>
      <c r="AC7" s="7" t="s">
        <v>96</v>
      </c>
      <c r="AD7" s="7" t="s">
        <v>96</v>
      </c>
      <c r="AE7" s="7" t="s">
        <v>96</v>
      </c>
      <c r="AF7" s="7" t="s">
        <v>96</v>
      </c>
      <c r="AG7" s="7" t="s">
        <v>96</v>
      </c>
      <c r="AH7" s="7" t="s">
        <v>96</v>
      </c>
      <c r="AI7" s="7" t="s">
        <v>96</v>
      </c>
      <c r="AJ7" s="7" t="s">
        <v>96</v>
      </c>
      <c r="AK7" s="7" t="s">
        <v>96</v>
      </c>
      <c r="AL7" s="7" t="s">
        <v>96</v>
      </c>
      <c r="AM7" s="7" t="s">
        <v>96</v>
      </c>
      <c r="AN7" s="7" t="s">
        <v>96</v>
      </c>
    </row>
    <row r="8" spans="1:40" x14ac:dyDescent="0.25">
      <c r="A8" t="s">
        <v>38</v>
      </c>
      <c r="B8" s="8" t="str">
        <f t="shared" si="0"/>
        <v>2019 Winter pea ALT samples from MO</v>
      </c>
      <c r="C8" s="3">
        <v>453382</v>
      </c>
      <c r="D8" s="3">
        <v>18904</v>
      </c>
      <c r="E8">
        <v>322138</v>
      </c>
      <c r="F8" t="s">
        <v>39</v>
      </c>
      <c r="G8" t="s">
        <v>58</v>
      </c>
      <c r="H8" s="5">
        <v>43734</v>
      </c>
      <c r="I8" t="s">
        <v>41</v>
      </c>
      <c r="J8" t="s">
        <v>42</v>
      </c>
      <c r="K8" s="3">
        <v>7</v>
      </c>
      <c r="L8" s="3">
        <v>2</v>
      </c>
      <c r="M8" t="s">
        <v>59</v>
      </c>
      <c r="N8" t="s">
        <v>44</v>
      </c>
      <c r="Q8" t="s">
        <v>45</v>
      </c>
      <c r="R8" s="3">
        <v>2019</v>
      </c>
      <c r="S8" t="s">
        <v>46</v>
      </c>
      <c r="T8" s="3">
        <v>7148</v>
      </c>
      <c r="U8" t="s">
        <v>58</v>
      </c>
      <c r="V8" s="5">
        <v>43734</v>
      </c>
      <c r="W8" s="7">
        <v>15.079999923706055</v>
      </c>
      <c r="X8" s="7">
        <v>91.510002136230469</v>
      </c>
      <c r="Y8" s="7">
        <v>1.6499999761581421</v>
      </c>
      <c r="Z8" s="7">
        <v>0.20999999344348907</v>
      </c>
      <c r="AA8" s="7">
        <v>1.3500000238418579</v>
      </c>
      <c r="AB8" s="7">
        <v>0.31999999284744263</v>
      </c>
      <c r="AC8" s="7">
        <v>30.920000076293945</v>
      </c>
      <c r="AD8" s="7">
        <v>42</v>
      </c>
      <c r="AE8" s="7">
        <v>143.57000732421875</v>
      </c>
      <c r="AF8" s="7">
        <v>60.799999237060547</v>
      </c>
      <c r="AG8" s="7">
        <v>7.179999828338623</v>
      </c>
      <c r="AH8" s="7">
        <v>74.730003356933594</v>
      </c>
      <c r="AI8" s="7">
        <v>2.2899999618530273</v>
      </c>
      <c r="AJ8" s="7">
        <v>8.8299999237060547</v>
      </c>
      <c r="AK8" s="7">
        <v>18.530000686645508</v>
      </c>
      <c r="AL8" s="7">
        <v>3.0399999618530273</v>
      </c>
      <c r="AM8" s="7">
        <v>2.1500000953674316</v>
      </c>
      <c r="AN8" s="7">
        <v>11.220000267028809</v>
      </c>
    </row>
    <row r="9" spans="1:40" x14ac:dyDescent="0.25">
      <c r="A9" t="s">
        <v>38</v>
      </c>
      <c r="B9" s="8" t="str">
        <f t="shared" si="0"/>
        <v>2019 Winter pea ALT samples from MO</v>
      </c>
      <c r="C9" s="3">
        <v>453383</v>
      </c>
      <c r="D9" s="3">
        <v>18904</v>
      </c>
      <c r="E9">
        <v>322139</v>
      </c>
      <c r="F9" t="s">
        <v>39</v>
      </c>
      <c r="G9" t="s">
        <v>60</v>
      </c>
      <c r="H9" s="5">
        <v>43734</v>
      </c>
      <c r="I9" t="s">
        <v>41</v>
      </c>
      <c r="J9" t="s">
        <v>42</v>
      </c>
      <c r="K9" s="3">
        <v>1</v>
      </c>
      <c r="L9" s="3">
        <v>3</v>
      </c>
      <c r="M9" t="s">
        <v>61</v>
      </c>
      <c r="N9" t="s">
        <v>44</v>
      </c>
      <c r="Q9" t="s">
        <v>45</v>
      </c>
      <c r="R9" s="3">
        <v>2019</v>
      </c>
      <c r="S9" t="s">
        <v>46</v>
      </c>
      <c r="T9" s="3">
        <v>7148</v>
      </c>
      <c r="U9" t="s">
        <v>60</v>
      </c>
      <c r="V9" s="5">
        <v>43734</v>
      </c>
      <c r="W9" s="7">
        <v>15.75</v>
      </c>
      <c r="X9" s="7">
        <v>91.569999694824219</v>
      </c>
      <c r="Y9" s="7">
        <v>1.6100000143051147</v>
      </c>
      <c r="Z9" s="7">
        <v>0.2199999988079071</v>
      </c>
      <c r="AA9" s="7">
        <v>1.690000057220459</v>
      </c>
      <c r="AB9" s="7">
        <v>0.30000001192092896</v>
      </c>
      <c r="AC9" s="7">
        <v>32.419998168945313</v>
      </c>
      <c r="AD9" s="7">
        <v>44.5</v>
      </c>
      <c r="AE9" s="7">
        <v>133.03999328613281</v>
      </c>
      <c r="AF9" s="7">
        <v>59.069999694824219</v>
      </c>
      <c r="AG9" s="7">
        <v>7.5500001907348633</v>
      </c>
      <c r="AH9" s="7">
        <v>74.209999084472656</v>
      </c>
      <c r="AI9" s="7">
        <v>2.0499999523162842</v>
      </c>
      <c r="AJ9" s="7">
        <v>9.1800003051757813</v>
      </c>
      <c r="AK9" s="7">
        <v>22.290000915527344</v>
      </c>
      <c r="AL9" s="7">
        <v>1.5299999713897705</v>
      </c>
      <c r="AM9" s="7">
        <v>1.9900000095367432</v>
      </c>
      <c r="AN9" s="7">
        <v>9.9300003051757813</v>
      </c>
    </row>
    <row r="10" spans="1:40" x14ac:dyDescent="0.25">
      <c r="A10" t="s">
        <v>38</v>
      </c>
      <c r="B10" s="8" t="str">
        <f t="shared" si="0"/>
        <v>2019 Winter pea ALT samples from MO</v>
      </c>
      <c r="C10" s="3">
        <v>453384</v>
      </c>
      <c r="D10" s="3">
        <v>18904</v>
      </c>
      <c r="E10">
        <v>322140</v>
      </c>
      <c r="F10" t="s">
        <v>39</v>
      </c>
      <c r="G10" t="s">
        <v>62</v>
      </c>
      <c r="H10" s="5">
        <v>43734</v>
      </c>
      <c r="I10" t="s">
        <v>41</v>
      </c>
      <c r="J10" t="s">
        <v>42</v>
      </c>
      <c r="K10" s="3">
        <v>2</v>
      </c>
      <c r="L10" s="3">
        <v>3</v>
      </c>
      <c r="M10" t="s">
        <v>63</v>
      </c>
      <c r="N10" t="s">
        <v>44</v>
      </c>
      <c r="Q10" t="s">
        <v>45</v>
      </c>
      <c r="R10" s="3">
        <v>2019</v>
      </c>
      <c r="S10" t="s">
        <v>46</v>
      </c>
      <c r="T10" s="3">
        <v>7148</v>
      </c>
      <c r="U10" t="s">
        <v>62</v>
      </c>
      <c r="V10" s="5">
        <v>43734</v>
      </c>
      <c r="W10" s="7">
        <v>11.390000343322754</v>
      </c>
      <c r="X10" s="7">
        <v>91.300003051757813</v>
      </c>
      <c r="Y10" s="7">
        <v>1.2699999809265137</v>
      </c>
      <c r="Z10" s="7">
        <v>0.17000000178813934</v>
      </c>
      <c r="AA10" s="7">
        <v>1.2100000381469727</v>
      </c>
      <c r="AB10" s="7">
        <v>0.27000001072883606</v>
      </c>
      <c r="AC10" s="7">
        <v>31.129999160766602</v>
      </c>
      <c r="AD10" s="7">
        <v>44.369998931884766</v>
      </c>
      <c r="AE10" s="7">
        <v>135.52999877929688</v>
      </c>
      <c r="AF10" s="7">
        <v>60.549999237060547</v>
      </c>
      <c r="AG10" s="7">
        <v>6.5799999237060547</v>
      </c>
      <c r="AH10" s="7">
        <v>73.379997253417969</v>
      </c>
      <c r="AI10" s="7">
        <v>2.0199999809265137</v>
      </c>
      <c r="AJ10" s="7">
        <v>4.9899997711181641</v>
      </c>
      <c r="AK10" s="7">
        <v>19.639999389648438</v>
      </c>
      <c r="AL10" s="7">
        <v>5.9600000381469727</v>
      </c>
      <c r="AM10" s="7">
        <v>2.0199999809265137</v>
      </c>
      <c r="AN10" s="7">
        <v>12.130000114440918</v>
      </c>
    </row>
    <row r="11" spans="1:40" x14ac:dyDescent="0.25">
      <c r="A11" t="s">
        <v>38</v>
      </c>
      <c r="B11" s="8" t="str">
        <f t="shared" si="0"/>
        <v>2019 Winter pea ALT samples from MO</v>
      </c>
      <c r="C11" s="3">
        <v>453385</v>
      </c>
      <c r="D11" s="3">
        <v>18904</v>
      </c>
      <c r="E11">
        <v>322141</v>
      </c>
      <c r="F11" t="s">
        <v>39</v>
      </c>
      <c r="G11" t="s">
        <v>64</v>
      </c>
      <c r="H11" s="5">
        <v>43734</v>
      </c>
      <c r="I11" t="s">
        <v>41</v>
      </c>
      <c r="J11" t="s">
        <v>42</v>
      </c>
      <c r="K11" s="3">
        <v>5</v>
      </c>
      <c r="L11" s="3">
        <v>3</v>
      </c>
      <c r="M11" t="s">
        <v>65</v>
      </c>
      <c r="N11" t="s">
        <v>44</v>
      </c>
      <c r="Q11" t="s">
        <v>45</v>
      </c>
      <c r="R11" s="3">
        <v>2019</v>
      </c>
      <c r="S11" t="s">
        <v>46</v>
      </c>
      <c r="T11" s="3">
        <v>7148</v>
      </c>
      <c r="U11" t="s">
        <v>64</v>
      </c>
      <c r="V11" s="5">
        <v>43734</v>
      </c>
      <c r="W11" s="7">
        <v>21.319999694824219</v>
      </c>
      <c r="X11" s="7">
        <v>91.5</v>
      </c>
      <c r="Y11" s="7">
        <v>1.9199999570846558</v>
      </c>
      <c r="Z11" s="7">
        <v>0.27000001072883606</v>
      </c>
      <c r="AA11" s="7">
        <v>1.6699999570846558</v>
      </c>
      <c r="AB11" s="7">
        <v>0.36000001430511475</v>
      </c>
      <c r="AC11" s="7">
        <v>24.590000152587891</v>
      </c>
      <c r="AD11" s="7">
        <v>34.459999084472656</v>
      </c>
      <c r="AE11" s="7">
        <v>188.27999877929688</v>
      </c>
      <c r="AF11" s="7">
        <v>68.069999694824219</v>
      </c>
      <c r="AG11" s="7">
        <v>6.75</v>
      </c>
      <c r="AH11" s="7">
        <v>80.269996643066406</v>
      </c>
      <c r="AI11" s="7">
        <v>2.2200000286102295</v>
      </c>
      <c r="AJ11" s="7">
        <v>13</v>
      </c>
      <c r="AK11" s="7">
        <v>18.889999389648438</v>
      </c>
      <c r="AL11" s="7">
        <v>2.0999999046325684</v>
      </c>
      <c r="AM11" s="7">
        <v>2.630000114440918</v>
      </c>
      <c r="AN11" s="7">
        <v>13.069999694824219</v>
      </c>
    </row>
    <row r="12" spans="1:40" x14ac:dyDescent="0.25">
      <c r="A12" t="s">
        <v>38</v>
      </c>
      <c r="B12" s="8" t="str">
        <f t="shared" si="0"/>
        <v>2019 Winter pea ALT samples from MO</v>
      </c>
      <c r="C12" s="3">
        <v>453386</v>
      </c>
      <c r="D12" s="3">
        <v>18904</v>
      </c>
      <c r="E12">
        <v>322142</v>
      </c>
      <c r="F12" t="s">
        <v>55</v>
      </c>
      <c r="G12" t="s">
        <v>66</v>
      </c>
      <c r="H12" s="5">
        <v>43734</v>
      </c>
      <c r="I12" t="s">
        <v>41</v>
      </c>
      <c r="J12" t="s">
        <v>42</v>
      </c>
      <c r="K12" s="3">
        <v>6</v>
      </c>
      <c r="L12" s="3">
        <v>3</v>
      </c>
      <c r="M12" t="s">
        <v>67</v>
      </c>
      <c r="N12" t="s">
        <v>44</v>
      </c>
      <c r="Q12" t="s">
        <v>45</v>
      </c>
      <c r="R12" s="3">
        <v>2019</v>
      </c>
      <c r="S12" t="s">
        <v>46</v>
      </c>
      <c r="T12" s="3">
        <v>7148</v>
      </c>
      <c r="U12" t="s">
        <v>66</v>
      </c>
      <c r="V12" s="5">
        <v>43734</v>
      </c>
      <c r="W12" s="7" t="s">
        <v>96</v>
      </c>
      <c r="X12" s="7" t="s">
        <v>96</v>
      </c>
      <c r="Y12" s="7" t="s">
        <v>96</v>
      </c>
      <c r="Z12" s="7" t="s">
        <v>96</v>
      </c>
      <c r="AA12" s="7" t="s">
        <v>96</v>
      </c>
      <c r="AB12" s="7" t="s">
        <v>96</v>
      </c>
      <c r="AC12" s="7" t="s">
        <v>96</v>
      </c>
      <c r="AD12" s="7" t="s">
        <v>96</v>
      </c>
      <c r="AE12" s="7" t="s">
        <v>96</v>
      </c>
      <c r="AF12" s="7" t="s">
        <v>96</v>
      </c>
      <c r="AG12" s="7" t="s">
        <v>96</v>
      </c>
      <c r="AH12" s="7" t="s">
        <v>96</v>
      </c>
      <c r="AI12" s="7" t="s">
        <v>96</v>
      </c>
      <c r="AJ12" s="7" t="s">
        <v>96</v>
      </c>
      <c r="AK12" s="7" t="s">
        <v>96</v>
      </c>
      <c r="AL12" s="7" t="s">
        <v>96</v>
      </c>
      <c r="AM12" s="7" t="s">
        <v>96</v>
      </c>
      <c r="AN12" s="7" t="s">
        <v>96</v>
      </c>
    </row>
    <row r="13" spans="1:40" x14ac:dyDescent="0.25">
      <c r="A13" t="s">
        <v>38</v>
      </c>
      <c r="B13" s="8" t="str">
        <f t="shared" si="0"/>
        <v>2019 Winter pea ALT samples from MO</v>
      </c>
      <c r="C13" s="3">
        <v>453387</v>
      </c>
      <c r="D13" s="3">
        <v>18904</v>
      </c>
      <c r="E13">
        <v>322143</v>
      </c>
      <c r="F13" t="s">
        <v>39</v>
      </c>
      <c r="G13" t="s">
        <v>68</v>
      </c>
      <c r="H13" s="5">
        <v>43734</v>
      </c>
      <c r="I13" t="s">
        <v>41</v>
      </c>
      <c r="J13" t="s">
        <v>42</v>
      </c>
      <c r="K13" s="3">
        <v>5</v>
      </c>
      <c r="L13" s="3">
        <v>4</v>
      </c>
      <c r="M13" t="s">
        <v>69</v>
      </c>
      <c r="N13" t="s">
        <v>44</v>
      </c>
      <c r="Q13" t="s">
        <v>45</v>
      </c>
      <c r="R13" s="3">
        <v>2019</v>
      </c>
      <c r="S13" t="s">
        <v>46</v>
      </c>
      <c r="T13" s="3">
        <v>7148</v>
      </c>
      <c r="U13" t="s">
        <v>68</v>
      </c>
      <c r="V13" s="5">
        <v>43734</v>
      </c>
      <c r="W13" s="7">
        <v>16.829999923706055</v>
      </c>
      <c r="X13" s="7">
        <v>91.730003356933594</v>
      </c>
      <c r="Y13" s="7">
        <v>1.809999942779541</v>
      </c>
      <c r="Z13" s="7">
        <v>0.2199999988079071</v>
      </c>
      <c r="AA13" s="7">
        <v>1.6699999570846558</v>
      </c>
      <c r="AB13" s="7">
        <v>0.34000000357627869</v>
      </c>
      <c r="AC13" s="7">
        <v>26.510000228881836</v>
      </c>
      <c r="AD13" s="7">
        <v>37.689998626708984</v>
      </c>
      <c r="AE13" s="7">
        <v>168.46000671386719</v>
      </c>
      <c r="AF13" s="7">
        <v>65.870002746582031</v>
      </c>
      <c r="AG13" s="7">
        <v>6.7300000190734863</v>
      </c>
      <c r="AH13" s="7">
        <v>79.089996337890625</v>
      </c>
      <c r="AI13" s="7">
        <v>2.4000000953674316</v>
      </c>
      <c r="AJ13" s="7">
        <v>9.1499996185302734</v>
      </c>
      <c r="AK13" s="7">
        <v>19.110000610351563</v>
      </c>
      <c r="AL13" s="7">
        <v>2.7599999904632568</v>
      </c>
      <c r="AM13" s="7">
        <v>2.2899999618530273</v>
      </c>
      <c r="AN13" s="7">
        <v>12.510000228881836</v>
      </c>
    </row>
    <row r="14" spans="1:40" x14ac:dyDescent="0.25">
      <c r="A14" t="s">
        <v>38</v>
      </c>
      <c r="B14" s="8" t="str">
        <f t="shared" si="0"/>
        <v>2019 Winter pea ALT samples from MO</v>
      </c>
      <c r="C14" s="3">
        <v>453388</v>
      </c>
      <c r="D14" s="3">
        <v>18904</v>
      </c>
      <c r="E14">
        <v>322144</v>
      </c>
      <c r="F14" t="s">
        <v>39</v>
      </c>
      <c r="G14" t="s">
        <v>70</v>
      </c>
      <c r="H14" s="5">
        <v>43734</v>
      </c>
      <c r="I14" t="s">
        <v>41</v>
      </c>
      <c r="J14" t="s">
        <v>42</v>
      </c>
      <c r="K14" s="3">
        <v>1</v>
      </c>
      <c r="L14" s="3">
        <v>5</v>
      </c>
      <c r="M14" t="s">
        <v>71</v>
      </c>
      <c r="N14" t="s">
        <v>44</v>
      </c>
      <c r="Q14" t="s">
        <v>45</v>
      </c>
      <c r="R14" s="3">
        <v>2019</v>
      </c>
      <c r="S14" t="s">
        <v>46</v>
      </c>
      <c r="T14" s="3">
        <v>7148</v>
      </c>
      <c r="U14" t="s">
        <v>70</v>
      </c>
      <c r="V14" s="5">
        <v>43734</v>
      </c>
      <c r="W14" s="7">
        <v>12.760000228881836</v>
      </c>
      <c r="X14" s="7">
        <v>91.160003662109375</v>
      </c>
      <c r="Y14" s="7">
        <v>1.2200000286102295</v>
      </c>
      <c r="Z14" s="7">
        <v>0.18000000715255737</v>
      </c>
      <c r="AA14" s="7">
        <v>1.5199999809265137</v>
      </c>
      <c r="AB14" s="7">
        <v>0.23999999463558197</v>
      </c>
      <c r="AC14" s="7">
        <v>25.879999160766602</v>
      </c>
      <c r="AD14" s="7">
        <v>37.150001525878906</v>
      </c>
      <c r="AE14" s="7">
        <v>172.11000061035156</v>
      </c>
      <c r="AF14" s="7">
        <v>66.589996337890625</v>
      </c>
      <c r="AG14" s="7">
        <v>5.9899997711181641</v>
      </c>
      <c r="AH14" s="7">
        <v>79.25</v>
      </c>
      <c r="AI14" s="7">
        <v>2.3599998950958252</v>
      </c>
      <c r="AJ14" s="7">
        <v>4.690000057220459</v>
      </c>
      <c r="AK14" s="7">
        <v>18.239999771118164</v>
      </c>
      <c r="AL14" s="7">
        <v>8.4899997711181641</v>
      </c>
      <c r="AM14" s="7">
        <v>2.2300000190734863</v>
      </c>
      <c r="AN14" s="7">
        <v>11.859999656677246</v>
      </c>
    </row>
    <row r="15" spans="1:40" x14ac:dyDescent="0.25">
      <c r="A15" t="s">
        <v>38</v>
      </c>
      <c r="B15" s="8" t="str">
        <f t="shared" si="0"/>
        <v>2019 Winter pea ALT samples from MO</v>
      </c>
      <c r="C15" s="3">
        <v>453389</v>
      </c>
      <c r="D15" s="3">
        <v>18904</v>
      </c>
      <c r="E15">
        <v>322145</v>
      </c>
      <c r="F15" t="s">
        <v>39</v>
      </c>
      <c r="G15" t="s">
        <v>72</v>
      </c>
      <c r="H15" s="5">
        <v>43734</v>
      </c>
      <c r="I15" t="s">
        <v>41</v>
      </c>
      <c r="J15" t="s">
        <v>42</v>
      </c>
      <c r="K15" s="3">
        <v>3</v>
      </c>
      <c r="L15" s="3">
        <v>5</v>
      </c>
      <c r="M15" t="s">
        <v>73</v>
      </c>
      <c r="N15" t="s">
        <v>44</v>
      </c>
      <c r="Q15" t="s">
        <v>45</v>
      </c>
      <c r="R15" s="3">
        <v>2019</v>
      </c>
      <c r="S15" t="s">
        <v>46</v>
      </c>
      <c r="T15" s="3">
        <v>7148</v>
      </c>
      <c r="U15" t="s">
        <v>72</v>
      </c>
      <c r="V15" s="5">
        <v>43734</v>
      </c>
      <c r="W15" s="7">
        <v>10.640000343322754</v>
      </c>
      <c r="X15" s="7">
        <v>91.5</v>
      </c>
      <c r="Y15" s="7">
        <v>1.1799999475479126</v>
      </c>
      <c r="Z15" s="7">
        <v>0.15999999642372131</v>
      </c>
      <c r="AA15" s="7">
        <v>1.2999999523162842</v>
      </c>
      <c r="AB15" s="7">
        <v>0.25</v>
      </c>
      <c r="AC15" s="7">
        <v>31.579999923706055</v>
      </c>
      <c r="AD15" s="7">
        <v>44.689998626708984</v>
      </c>
      <c r="AE15" s="7">
        <v>133.83000183105469</v>
      </c>
      <c r="AF15" s="7">
        <v>60.029998779296875</v>
      </c>
      <c r="AG15" s="7">
        <v>6.4600000381469727</v>
      </c>
      <c r="AH15" s="7">
        <v>73.959999084472656</v>
      </c>
      <c r="AI15" s="7">
        <v>1.7999999523162842</v>
      </c>
      <c r="AJ15" s="7">
        <v>4.9600000381469727</v>
      </c>
      <c r="AK15" s="7">
        <v>20.200000762939453</v>
      </c>
      <c r="AL15" s="7">
        <v>7.929999828338623</v>
      </c>
      <c r="AM15" s="7">
        <v>2.059999942779541</v>
      </c>
      <c r="AN15" s="7">
        <v>11.090000152587891</v>
      </c>
    </row>
    <row r="16" spans="1:40" x14ac:dyDescent="0.25">
      <c r="A16" t="s">
        <v>38</v>
      </c>
      <c r="B16" s="8" t="str">
        <f t="shared" si="0"/>
        <v>2019 Winter pea ALT samples from MO</v>
      </c>
      <c r="C16" s="3">
        <v>453390</v>
      </c>
      <c r="D16" s="3">
        <v>18904</v>
      </c>
      <c r="E16">
        <v>322146</v>
      </c>
      <c r="F16" t="s">
        <v>39</v>
      </c>
      <c r="G16" t="s">
        <v>74</v>
      </c>
      <c r="H16" s="5">
        <v>43734</v>
      </c>
      <c r="I16" t="s">
        <v>41</v>
      </c>
      <c r="J16" t="s">
        <v>42</v>
      </c>
      <c r="K16" s="3">
        <v>6</v>
      </c>
      <c r="L16" s="3">
        <v>5</v>
      </c>
      <c r="M16" t="s">
        <v>75</v>
      </c>
      <c r="N16" t="s">
        <v>44</v>
      </c>
      <c r="Q16" t="s">
        <v>45</v>
      </c>
      <c r="R16" s="3">
        <v>2019</v>
      </c>
      <c r="S16" t="s">
        <v>46</v>
      </c>
      <c r="T16" s="3">
        <v>7148</v>
      </c>
      <c r="U16" t="s">
        <v>74</v>
      </c>
      <c r="V16" s="5">
        <v>43734</v>
      </c>
      <c r="W16" s="7">
        <v>17.809999465942383</v>
      </c>
      <c r="X16" s="7">
        <v>91.410003662109375</v>
      </c>
      <c r="Y16" s="7">
        <v>1.8799999952316284</v>
      </c>
      <c r="Z16" s="7">
        <v>0.23999999463558197</v>
      </c>
      <c r="AA16" s="7">
        <v>1.7699999809265137</v>
      </c>
      <c r="AB16" s="7">
        <v>0.36000001430511475</v>
      </c>
      <c r="AC16" s="7">
        <v>23.090000152587891</v>
      </c>
      <c r="AD16" s="7">
        <v>33.099998474121094</v>
      </c>
      <c r="AE16" s="7">
        <v>199.27999877929688</v>
      </c>
      <c r="AF16" s="7">
        <v>69.790000915527344</v>
      </c>
      <c r="AG16" s="7">
        <v>6.119999885559082</v>
      </c>
      <c r="AH16" s="7">
        <v>83.44000244140625</v>
      </c>
      <c r="AI16" s="7">
        <v>2.3199999332427979</v>
      </c>
      <c r="AJ16" s="7">
        <v>9.3100004196166992</v>
      </c>
      <c r="AK16" s="7">
        <v>18.809999465942383</v>
      </c>
      <c r="AL16" s="7">
        <v>3.5899999141693115</v>
      </c>
      <c r="AM16" s="7">
        <v>2.4200000762939453</v>
      </c>
      <c r="AN16" s="7">
        <v>14.579999923706055</v>
      </c>
    </row>
    <row r="17" spans="1:40" x14ac:dyDescent="0.25">
      <c r="A17" t="s">
        <v>38</v>
      </c>
      <c r="B17" s="8" t="str">
        <f t="shared" si="0"/>
        <v>2019 Winter pea ALT samples from MO</v>
      </c>
      <c r="C17" s="3">
        <v>453391</v>
      </c>
      <c r="D17" s="3">
        <v>18904</v>
      </c>
      <c r="E17">
        <v>322147</v>
      </c>
      <c r="F17" t="s">
        <v>39</v>
      </c>
      <c r="G17" t="s">
        <v>76</v>
      </c>
      <c r="H17" s="5">
        <v>43734</v>
      </c>
      <c r="I17" t="s">
        <v>41</v>
      </c>
      <c r="J17" t="s">
        <v>42</v>
      </c>
      <c r="K17" s="3">
        <v>7</v>
      </c>
      <c r="L17" s="3">
        <v>5</v>
      </c>
      <c r="M17" t="s">
        <v>77</v>
      </c>
      <c r="N17" t="s">
        <v>44</v>
      </c>
      <c r="Q17" t="s">
        <v>45</v>
      </c>
      <c r="R17" s="3">
        <v>2019</v>
      </c>
      <c r="S17" t="s">
        <v>46</v>
      </c>
      <c r="T17" s="3">
        <v>7148</v>
      </c>
      <c r="U17" t="s">
        <v>76</v>
      </c>
      <c r="V17" s="5">
        <v>43734</v>
      </c>
      <c r="W17" s="7">
        <v>13.170000076293945</v>
      </c>
      <c r="X17" s="7">
        <v>91.300003051757813</v>
      </c>
      <c r="Y17" s="7">
        <v>1.5099999904632568</v>
      </c>
      <c r="Z17" s="7">
        <v>0.20000000298023224</v>
      </c>
      <c r="AA17" s="7">
        <v>1.5099999904632568</v>
      </c>
      <c r="AB17" s="7">
        <v>0.30000001192092896</v>
      </c>
      <c r="AC17" s="7">
        <v>26.799999237060547</v>
      </c>
      <c r="AD17" s="7">
        <v>39.349998474121094</v>
      </c>
      <c r="AE17" s="7">
        <v>160.78999328613281</v>
      </c>
      <c r="AF17" s="7">
        <v>65.529998779296875</v>
      </c>
      <c r="AG17" s="7">
        <v>6.1700000762939453</v>
      </c>
      <c r="AH17" s="7">
        <v>79.599998474121094</v>
      </c>
      <c r="AI17" s="7">
        <v>2.3599998950958252</v>
      </c>
      <c r="AJ17" s="7">
        <v>7.0500001907348633</v>
      </c>
      <c r="AK17" s="7">
        <v>21.280000686645508</v>
      </c>
      <c r="AL17" s="7">
        <v>5.690000057220459</v>
      </c>
      <c r="AM17" s="7">
        <v>2.2599999904632568</v>
      </c>
      <c r="AN17" s="7">
        <v>13.159999847412109</v>
      </c>
    </row>
    <row r="18" spans="1:40" x14ac:dyDescent="0.25">
      <c r="A18" t="s">
        <v>38</v>
      </c>
      <c r="B18" s="8" t="str">
        <f t="shared" si="0"/>
        <v>2019 Winter pea ALT samples from MO</v>
      </c>
      <c r="C18" s="3">
        <v>453392</v>
      </c>
      <c r="D18" s="3">
        <v>18904</v>
      </c>
      <c r="E18">
        <v>322148</v>
      </c>
      <c r="F18" t="s">
        <v>39</v>
      </c>
      <c r="G18" t="s">
        <v>78</v>
      </c>
      <c r="H18" s="5">
        <v>43734</v>
      </c>
      <c r="I18" t="s">
        <v>41</v>
      </c>
      <c r="J18" t="s">
        <v>42</v>
      </c>
      <c r="K18" s="3">
        <v>1</v>
      </c>
      <c r="L18" s="3">
        <v>6</v>
      </c>
      <c r="M18" t="s">
        <v>79</v>
      </c>
      <c r="N18" t="s">
        <v>44</v>
      </c>
      <c r="Q18" t="s">
        <v>45</v>
      </c>
      <c r="R18" s="3">
        <v>2019</v>
      </c>
      <c r="S18" t="s">
        <v>46</v>
      </c>
      <c r="T18" s="3">
        <v>7148</v>
      </c>
      <c r="U18" t="s">
        <v>78</v>
      </c>
      <c r="V18" s="5">
        <v>43734</v>
      </c>
      <c r="W18" s="7">
        <v>12.869999885559082</v>
      </c>
      <c r="X18" s="7">
        <v>91.529998779296875</v>
      </c>
      <c r="Y18" s="7">
        <v>1.2100000381469727</v>
      </c>
      <c r="Z18" s="7">
        <v>0.18999999761581421</v>
      </c>
      <c r="AA18" s="7">
        <v>1.6299999952316284</v>
      </c>
      <c r="AB18" s="7">
        <v>0.23999999463558197</v>
      </c>
      <c r="AC18" s="7">
        <v>33.040000915527344</v>
      </c>
      <c r="AD18" s="7">
        <v>44.909999847412109</v>
      </c>
      <c r="AE18" s="7">
        <v>130.83999633789063</v>
      </c>
      <c r="AF18" s="7">
        <v>58.360000610351563</v>
      </c>
      <c r="AG18" s="7">
        <v>6.929999828338623</v>
      </c>
      <c r="AH18" s="7">
        <v>74.19000244140625</v>
      </c>
      <c r="AI18" s="7">
        <v>2.0799999237060547</v>
      </c>
      <c r="AJ18" s="7">
        <v>4.190000057220459</v>
      </c>
      <c r="AK18" s="7">
        <v>19.850000381469727</v>
      </c>
      <c r="AL18" s="7">
        <v>4.1399998664855957</v>
      </c>
      <c r="AM18" s="7">
        <v>1.8899999856948853</v>
      </c>
      <c r="AN18" s="7">
        <v>10.399999618530273</v>
      </c>
    </row>
    <row r="19" spans="1:40" x14ac:dyDescent="0.25">
      <c r="A19" t="s">
        <v>38</v>
      </c>
      <c r="B19" s="8" t="str">
        <f t="shared" si="0"/>
        <v>2019 Winter pea ALT samples from MO</v>
      </c>
      <c r="C19" s="3">
        <v>453393</v>
      </c>
      <c r="D19" s="3">
        <v>18904</v>
      </c>
      <c r="E19">
        <v>322149</v>
      </c>
      <c r="F19" t="s">
        <v>39</v>
      </c>
      <c r="G19" t="s">
        <v>80</v>
      </c>
      <c r="H19" s="5">
        <v>43734</v>
      </c>
      <c r="I19" t="s">
        <v>41</v>
      </c>
      <c r="J19" t="s">
        <v>42</v>
      </c>
      <c r="K19" s="3">
        <v>2</v>
      </c>
      <c r="L19" s="3">
        <v>6</v>
      </c>
      <c r="M19" t="s">
        <v>81</v>
      </c>
      <c r="N19" t="s">
        <v>44</v>
      </c>
      <c r="Q19" t="s">
        <v>45</v>
      </c>
      <c r="R19" s="3">
        <v>2019</v>
      </c>
      <c r="S19" t="s">
        <v>46</v>
      </c>
      <c r="T19" s="3">
        <v>7148</v>
      </c>
      <c r="U19" t="s">
        <v>80</v>
      </c>
      <c r="V19" s="5">
        <v>43734</v>
      </c>
      <c r="W19" s="7">
        <v>14.75</v>
      </c>
      <c r="X19" s="7">
        <v>91.470001220703125</v>
      </c>
      <c r="Y19" s="7">
        <v>1.309999942779541</v>
      </c>
      <c r="Z19" s="7">
        <v>0.20999999344348907</v>
      </c>
      <c r="AA19" s="7">
        <v>1.6000000238418579</v>
      </c>
      <c r="AB19" s="7">
        <v>0.27000001072883606</v>
      </c>
      <c r="AC19" s="7">
        <v>29.729999542236328</v>
      </c>
      <c r="AD19" s="7">
        <v>42.419998168945313</v>
      </c>
      <c r="AE19" s="7">
        <v>144.16000366210938</v>
      </c>
      <c r="AF19" s="7">
        <v>62.150001525878906</v>
      </c>
      <c r="AG19" s="7">
        <v>6.1500000953674316</v>
      </c>
      <c r="AH19" s="7">
        <v>77.639999389648438</v>
      </c>
      <c r="AI19" s="7">
        <v>2.3599998950958252</v>
      </c>
      <c r="AJ19" s="7">
        <v>5.2600002288818359</v>
      </c>
      <c r="AK19" s="7">
        <v>21.270000457763672</v>
      </c>
      <c r="AL19" s="7">
        <v>3.5099999904632568</v>
      </c>
      <c r="AM19" s="7">
        <v>2.0199999809265137</v>
      </c>
      <c r="AN19" s="7">
        <v>11.409999847412109</v>
      </c>
    </row>
    <row r="20" spans="1:40" x14ac:dyDescent="0.25">
      <c r="A20" t="s">
        <v>38</v>
      </c>
      <c r="B20" s="8" t="str">
        <f t="shared" si="0"/>
        <v>2019 Winter pea ALT samples from MO</v>
      </c>
      <c r="C20" s="3">
        <v>453394</v>
      </c>
      <c r="D20" s="3">
        <v>18904</v>
      </c>
      <c r="E20">
        <v>322150</v>
      </c>
      <c r="F20" t="s">
        <v>39</v>
      </c>
      <c r="G20" t="s">
        <v>82</v>
      </c>
      <c r="H20" s="5">
        <v>43734</v>
      </c>
      <c r="I20" t="s">
        <v>41</v>
      </c>
      <c r="J20" t="s">
        <v>42</v>
      </c>
      <c r="K20" s="3">
        <v>9</v>
      </c>
      <c r="L20" s="3">
        <v>6</v>
      </c>
      <c r="M20" t="s">
        <v>83</v>
      </c>
      <c r="N20" t="s">
        <v>44</v>
      </c>
      <c r="Q20" t="s">
        <v>45</v>
      </c>
      <c r="R20" s="3">
        <v>2019</v>
      </c>
      <c r="S20" t="s">
        <v>46</v>
      </c>
      <c r="T20" s="3">
        <v>7148</v>
      </c>
      <c r="U20" t="s">
        <v>82</v>
      </c>
      <c r="V20" s="5">
        <v>43734</v>
      </c>
      <c r="W20" s="7">
        <v>20.010000228881836</v>
      </c>
      <c r="X20" s="7">
        <v>91.599998474121094</v>
      </c>
      <c r="Y20" s="7">
        <v>1.7200000286102295</v>
      </c>
      <c r="Z20" s="7">
        <v>0.25999999046325684</v>
      </c>
      <c r="AA20" s="7">
        <v>1.8899999856948853</v>
      </c>
      <c r="AB20" s="7">
        <v>0.34999999403953552</v>
      </c>
      <c r="AC20" s="7">
        <v>23.760000228881836</v>
      </c>
      <c r="AD20" s="7">
        <v>32.139999389648438</v>
      </c>
      <c r="AE20" s="7">
        <v>203.74000549316406</v>
      </c>
      <c r="AF20" s="7">
        <v>69.029998779296875</v>
      </c>
      <c r="AG20" s="7">
        <v>6.1599998474121094</v>
      </c>
      <c r="AH20" s="7">
        <v>84.089996337890625</v>
      </c>
      <c r="AI20" s="7">
        <v>2.380000114440918</v>
      </c>
      <c r="AJ20" s="7">
        <v>8.6400003433227539</v>
      </c>
      <c r="AK20" s="7">
        <v>17.010000228881836</v>
      </c>
      <c r="AL20" s="7">
        <v>3.1099998950958252</v>
      </c>
      <c r="AM20" s="7">
        <v>2.4000000953674316</v>
      </c>
      <c r="AN20" s="7">
        <v>13.949999809265137</v>
      </c>
    </row>
    <row r="21" spans="1:40" x14ac:dyDescent="0.25">
      <c r="A21" t="s">
        <v>38</v>
      </c>
      <c r="B21" s="8" t="str">
        <f t="shared" si="0"/>
        <v>2019 Winter pea ALT samples from MO</v>
      </c>
      <c r="C21" s="3">
        <v>453395</v>
      </c>
      <c r="D21" s="3">
        <v>18904</v>
      </c>
      <c r="E21">
        <v>322151</v>
      </c>
      <c r="F21" t="s">
        <v>39</v>
      </c>
      <c r="G21" t="s">
        <v>84</v>
      </c>
      <c r="H21" s="5">
        <v>43734</v>
      </c>
      <c r="I21" t="s">
        <v>41</v>
      </c>
      <c r="J21" t="s">
        <v>42</v>
      </c>
      <c r="K21" s="3">
        <v>1</v>
      </c>
      <c r="L21" s="3">
        <v>7</v>
      </c>
      <c r="M21" t="s">
        <v>85</v>
      </c>
      <c r="N21" t="s">
        <v>44</v>
      </c>
      <c r="Q21" t="s">
        <v>45</v>
      </c>
      <c r="R21" s="3">
        <v>2019</v>
      </c>
      <c r="S21" t="s">
        <v>46</v>
      </c>
      <c r="T21" s="3">
        <v>7148</v>
      </c>
      <c r="U21" t="s">
        <v>84</v>
      </c>
      <c r="V21" s="5">
        <v>43734</v>
      </c>
      <c r="W21" s="7">
        <v>10</v>
      </c>
      <c r="X21" s="7">
        <v>91.389999389648438</v>
      </c>
      <c r="Y21" s="7">
        <v>1.4700000286102295</v>
      </c>
      <c r="Z21" s="7">
        <v>0.18999999761581421</v>
      </c>
      <c r="AA21" s="7">
        <v>1.440000057220459</v>
      </c>
      <c r="AB21" s="7">
        <v>0.30000001192092896</v>
      </c>
      <c r="AC21" s="7">
        <v>27.030000686645508</v>
      </c>
      <c r="AD21" s="7">
        <v>38.479999542236328</v>
      </c>
      <c r="AE21" s="7">
        <v>163.99000549316406</v>
      </c>
      <c r="AF21" s="7">
        <v>65.260002136230469</v>
      </c>
      <c r="AG21" s="7">
        <v>6.0900001525878906</v>
      </c>
      <c r="AH21" s="7">
        <v>79.459999084472656</v>
      </c>
      <c r="AI21" s="7">
        <v>2.1099998950958252</v>
      </c>
      <c r="AJ21" s="7">
        <v>5.619999885559082</v>
      </c>
      <c r="AK21" s="7">
        <v>19.409999847412109</v>
      </c>
      <c r="AL21" s="7">
        <v>9.8500003814697266</v>
      </c>
      <c r="AM21" s="7">
        <v>2.2100000381469727</v>
      </c>
      <c r="AN21" s="7">
        <v>12.5</v>
      </c>
    </row>
    <row r="22" spans="1:40" x14ac:dyDescent="0.25">
      <c r="A22" t="s">
        <v>38</v>
      </c>
      <c r="B22" s="8" t="str">
        <f t="shared" si="0"/>
        <v>2019 Winter pea ALT samples from MO</v>
      </c>
      <c r="C22" s="3">
        <v>453396</v>
      </c>
      <c r="D22" s="3">
        <v>18904</v>
      </c>
      <c r="E22">
        <v>322152</v>
      </c>
      <c r="F22" t="s">
        <v>39</v>
      </c>
      <c r="G22" t="s">
        <v>86</v>
      </c>
      <c r="H22" s="5">
        <v>43734</v>
      </c>
      <c r="I22" t="s">
        <v>41</v>
      </c>
      <c r="J22" t="s">
        <v>42</v>
      </c>
      <c r="K22" s="3">
        <v>7</v>
      </c>
      <c r="L22" s="3">
        <v>7</v>
      </c>
      <c r="M22" t="s">
        <v>87</v>
      </c>
      <c r="N22" t="s">
        <v>44</v>
      </c>
      <c r="Q22" t="s">
        <v>45</v>
      </c>
      <c r="R22" s="3">
        <v>2019</v>
      </c>
      <c r="S22" t="s">
        <v>46</v>
      </c>
      <c r="T22" s="3">
        <v>7148</v>
      </c>
      <c r="U22" t="s">
        <v>86</v>
      </c>
      <c r="V22" s="5">
        <v>43734</v>
      </c>
      <c r="W22" s="7">
        <v>14.510000228881836</v>
      </c>
      <c r="X22" s="7">
        <v>91.379997253417969</v>
      </c>
      <c r="Y22" s="7">
        <v>1.559999942779541</v>
      </c>
      <c r="Z22" s="7">
        <v>0.18999999761581421</v>
      </c>
      <c r="AA22" s="7">
        <v>1.4199999570846558</v>
      </c>
      <c r="AB22" s="7">
        <v>0.28999999165534973</v>
      </c>
      <c r="AC22" s="7">
        <v>29.829999923706055</v>
      </c>
      <c r="AD22" s="7">
        <v>41.490001678466797</v>
      </c>
      <c r="AE22" s="7">
        <v>147.19999694824219</v>
      </c>
      <c r="AF22" s="7">
        <v>62.040000915527344</v>
      </c>
      <c r="AG22" s="7">
        <v>6.9200000762939453</v>
      </c>
      <c r="AH22" s="7">
        <v>76.430000305175781</v>
      </c>
      <c r="AI22" s="7">
        <v>2.0799999237060547</v>
      </c>
      <c r="AJ22" s="7">
        <v>7.3400001525878906</v>
      </c>
      <c r="AK22" s="7">
        <v>19.579999923706055</v>
      </c>
      <c r="AL22" s="7">
        <v>3.6600000858306885</v>
      </c>
      <c r="AM22" s="7">
        <v>2.130000114440918</v>
      </c>
      <c r="AN22" s="7">
        <v>11.939999580383301</v>
      </c>
    </row>
    <row r="23" spans="1:40" x14ac:dyDescent="0.25">
      <c r="A23" t="s">
        <v>38</v>
      </c>
      <c r="B23" s="8" t="str">
        <f t="shared" si="0"/>
        <v>2019 Winter pea ALT samples from MO</v>
      </c>
      <c r="C23" s="3">
        <v>453397</v>
      </c>
      <c r="D23" s="3">
        <v>18904</v>
      </c>
      <c r="E23">
        <v>322153</v>
      </c>
      <c r="F23" t="s">
        <v>39</v>
      </c>
      <c r="G23" t="s">
        <v>88</v>
      </c>
      <c r="H23" s="5">
        <v>43734</v>
      </c>
      <c r="I23" t="s">
        <v>41</v>
      </c>
      <c r="J23" t="s">
        <v>42</v>
      </c>
      <c r="K23" s="3">
        <v>8</v>
      </c>
      <c r="L23" s="3">
        <v>7</v>
      </c>
      <c r="M23" t="s">
        <v>89</v>
      </c>
      <c r="N23" t="s">
        <v>44</v>
      </c>
      <c r="Q23" t="s">
        <v>45</v>
      </c>
      <c r="R23" s="3">
        <v>2019</v>
      </c>
      <c r="S23" t="s">
        <v>46</v>
      </c>
      <c r="T23" s="3">
        <v>7148</v>
      </c>
      <c r="U23" t="s">
        <v>88</v>
      </c>
      <c r="V23" s="5">
        <v>43734</v>
      </c>
      <c r="W23" s="7">
        <v>24.450000762939453</v>
      </c>
      <c r="X23" s="7">
        <v>91.589996337890625</v>
      </c>
      <c r="Y23" s="7">
        <v>1.7799999713897705</v>
      </c>
      <c r="Z23" s="7">
        <v>0.31000000238418579</v>
      </c>
      <c r="AA23" s="7">
        <v>2.0399999618530273</v>
      </c>
      <c r="AB23" s="7">
        <v>0.31999999284744263</v>
      </c>
      <c r="AC23" s="7">
        <v>22.079999923706055</v>
      </c>
      <c r="AD23" s="7">
        <v>30.180000305175781</v>
      </c>
      <c r="AE23" s="7">
        <v>220.96000671386719</v>
      </c>
      <c r="AF23" s="7">
        <v>70.949996948242188</v>
      </c>
      <c r="AG23" s="7">
        <v>6.0900001525878906</v>
      </c>
      <c r="AH23" s="7">
        <v>87.540000915527344</v>
      </c>
      <c r="AI23" s="7">
        <v>2.1500000953674316</v>
      </c>
      <c r="AJ23" s="7">
        <v>9.3199996948242188</v>
      </c>
      <c r="AK23" s="7">
        <v>18.899999618530273</v>
      </c>
      <c r="AL23" s="7">
        <v>1.809999942779541</v>
      </c>
      <c r="AM23" s="7">
        <v>2.4700000286102295</v>
      </c>
      <c r="AN23" s="7">
        <v>14.729999542236328</v>
      </c>
    </row>
    <row r="24" spans="1:40" x14ac:dyDescent="0.25">
      <c r="A24" t="s">
        <v>38</v>
      </c>
      <c r="B24" s="8" t="str">
        <f t="shared" si="0"/>
        <v>2019 Winter pea ALT samples from MO</v>
      </c>
      <c r="C24" s="3">
        <v>453398</v>
      </c>
      <c r="D24" s="3">
        <v>18904</v>
      </c>
      <c r="E24">
        <v>322154</v>
      </c>
      <c r="F24" t="s">
        <v>39</v>
      </c>
      <c r="G24" t="s">
        <v>90</v>
      </c>
      <c r="H24" s="5">
        <v>43734</v>
      </c>
      <c r="I24" t="s">
        <v>41</v>
      </c>
      <c r="J24" t="s">
        <v>42</v>
      </c>
      <c r="K24" s="3">
        <v>1</v>
      </c>
      <c r="L24" s="3">
        <v>8</v>
      </c>
      <c r="M24" t="s">
        <v>91</v>
      </c>
      <c r="N24" t="s">
        <v>44</v>
      </c>
      <c r="Q24" t="s">
        <v>45</v>
      </c>
      <c r="R24" s="3">
        <v>2019</v>
      </c>
      <c r="S24" t="s">
        <v>46</v>
      </c>
      <c r="T24" s="3">
        <v>7148</v>
      </c>
      <c r="U24" t="s">
        <v>90</v>
      </c>
      <c r="V24" s="5">
        <v>43734</v>
      </c>
      <c r="W24" s="7">
        <v>16.360000610351563</v>
      </c>
      <c r="X24" s="7">
        <v>91.660003662109375</v>
      </c>
      <c r="Y24" s="7">
        <v>1.3700000047683716</v>
      </c>
      <c r="Z24" s="7">
        <v>0.23000000417232513</v>
      </c>
      <c r="AA24" s="7">
        <v>1.8899999856948853</v>
      </c>
      <c r="AB24" s="7">
        <v>0.27000001072883606</v>
      </c>
      <c r="AC24" s="7">
        <v>28.329999923706055</v>
      </c>
      <c r="AD24" s="7">
        <v>39.090000152587891</v>
      </c>
      <c r="AE24" s="7">
        <v>159.02000427246094</v>
      </c>
      <c r="AF24" s="7">
        <v>63.770000457763672</v>
      </c>
      <c r="AG24" s="7">
        <v>6.119999885559082</v>
      </c>
      <c r="AH24" s="7">
        <v>80.300003051757813</v>
      </c>
      <c r="AI24" s="7">
        <v>2.3299999237060547</v>
      </c>
      <c r="AJ24" s="7">
        <v>6.179999828338623</v>
      </c>
      <c r="AK24" s="7">
        <v>20.079999923706055</v>
      </c>
      <c r="AL24" s="7">
        <v>3.5499999523162842</v>
      </c>
      <c r="AM24" s="7">
        <v>2.0999999046325684</v>
      </c>
      <c r="AN24" s="7">
        <v>11.75</v>
      </c>
    </row>
    <row r="25" spans="1:40" x14ac:dyDescent="0.25">
      <c r="A25" t="s">
        <v>38</v>
      </c>
      <c r="B25" s="8" t="str">
        <f t="shared" si="0"/>
        <v>2019 Winter pea ALT samples from MO</v>
      </c>
      <c r="C25" s="3">
        <v>453399</v>
      </c>
      <c r="D25" s="3">
        <v>18904</v>
      </c>
      <c r="E25">
        <v>322155</v>
      </c>
      <c r="F25" t="s">
        <v>39</v>
      </c>
      <c r="G25" t="s">
        <v>92</v>
      </c>
      <c r="H25" s="5">
        <v>43734</v>
      </c>
      <c r="I25" t="s">
        <v>41</v>
      </c>
      <c r="J25" t="s">
        <v>42</v>
      </c>
      <c r="K25" s="3">
        <v>2</v>
      </c>
      <c r="L25" s="3">
        <v>8</v>
      </c>
      <c r="M25" t="s">
        <v>93</v>
      </c>
      <c r="N25" t="s">
        <v>44</v>
      </c>
      <c r="Q25" t="s">
        <v>45</v>
      </c>
      <c r="R25" s="3">
        <v>2019</v>
      </c>
      <c r="S25" t="s">
        <v>46</v>
      </c>
      <c r="T25" s="3">
        <v>7148</v>
      </c>
      <c r="U25" t="s">
        <v>92</v>
      </c>
      <c r="V25" s="5">
        <v>43734</v>
      </c>
      <c r="W25" s="7">
        <v>14.920000076293945</v>
      </c>
      <c r="X25" s="7">
        <v>91.339996337890625</v>
      </c>
      <c r="Y25" s="7">
        <v>1.559999942779541</v>
      </c>
      <c r="Z25" s="7">
        <v>0.20999999344348907</v>
      </c>
      <c r="AA25" s="7">
        <v>1.5</v>
      </c>
      <c r="AB25" s="7">
        <v>0.30000001192092896</v>
      </c>
      <c r="AC25" s="7">
        <v>28.170000076293945</v>
      </c>
      <c r="AD25" s="7">
        <v>39.700000762939453</v>
      </c>
      <c r="AE25" s="7">
        <v>156.91000366210938</v>
      </c>
      <c r="AF25" s="7">
        <v>63.959999084472656</v>
      </c>
      <c r="AG25" s="7">
        <v>6.4699997901916504</v>
      </c>
      <c r="AH25" s="7">
        <v>78.239997863769531</v>
      </c>
      <c r="AI25" s="7">
        <v>2.130000114440918</v>
      </c>
      <c r="AJ25" s="7">
        <v>7.6100001335144043</v>
      </c>
      <c r="AK25" s="7">
        <v>19.780000686645508</v>
      </c>
      <c r="AL25" s="7">
        <v>4.75</v>
      </c>
      <c r="AM25" s="7">
        <v>2.2200000286102295</v>
      </c>
      <c r="AN25" s="7">
        <v>12.619999885559082</v>
      </c>
    </row>
    <row r="26" spans="1:40" x14ac:dyDescent="0.25">
      <c r="A26" t="s">
        <v>38</v>
      </c>
      <c r="B26" s="8" t="str">
        <f t="shared" si="0"/>
        <v>2019 Winter pea ALT samples from MO</v>
      </c>
      <c r="C26" s="3">
        <v>453400</v>
      </c>
      <c r="D26" s="3">
        <v>18904</v>
      </c>
      <c r="E26">
        <v>322156</v>
      </c>
      <c r="F26" t="s">
        <v>39</v>
      </c>
      <c r="G26" t="s">
        <v>94</v>
      </c>
      <c r="H26" s="5">
        <v>43734</v>
      </c>
      <c r="I26" t="s">
        <v>41</v>
      </c>
      <c r="J26" t="s">
        <v>42</v>
      </c>
      <c r="K26" s="3">
        <v>5</v>
      </c>
      <c r="L26" s="3">
        <v>8</v>
      </c>
      <c r="M26" t="s">
        <v>95</v>
      </c>
      <c r="N26" t="s">
        <v>44</v>
      </c>
      <c r="Q26" t="s">
        <v>45</v>
      </c>
      <c r="R26" s="3">
        <v>2019</v>
      </c>
      <c r="S26" t="s">
        <v>46</v>
      </c>
      <c r="T26" s="3">
        <v>7148</v>
      </c>
      <c r="U26" t="s">
        <v>94</v>
      </c>
      <c r="V26" s="5">
        <v>43734</v>
      </c>
      <c r="W26" s="7">
        <v>12.569999694824219</v>
      </c>
      <c r="X26" s="7">
        <v>91.239997863769531</v>
      </c>
      <c r="Y26" s="7">
        <v>1.190000057220459</v>
      </c>
      <c r="Z26" s="7">
        <v>0.18999999761581421</v>
      </c>
      <c r="AA26" s="7">
        <v>1.5499999523162842</v>
      </c>
      <c r="AB26" s="7">
        <v>0.25999999046325684</v>
      </c>
      <c r="AC26" s="7">
        <v>32.619998931884766</v>
      </c>
      <c r="AD26" s="7">
        <v>44.200000762939453</v>
      </c>
      <c r="AE26" s="7">
        <v>133.6199951171875</v>
      </c>
      <c r="AF26" s="7">
        <v>58.840000152587891</v>
      </c>
      <c r="AG26" s="7">
        <v>6.6399998664855957</v>
      </c>
      <c r="AH26" s="7">
        <v>75.25</v>
      </c>
      <c r="AI26" s="7">
        <v>1.8899999856948853</v>
      </c>
      <c r="AJ26" s="7">
        <v>4.1599998474121094</v>
      </c>
      <c r="AK26" s="7">
        <v>19.709999084472656</v>
      </c>
      <c r="AL26" s="7">
        <v>5.5</v>
      </c>
      <c r="AM26" s="7">
        <v>1.9099999666213989</v>
      </c>
      <c r="AN26" s="7">
        <v>10.779999732971191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Noble Research Institute,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Krogman, Sarah</dc:creator>
  <cp:lastModifiedBy>Krogman, Sarah</cp:lastModifiedBy>
  <dcterms:created xsi:type="dcterms:W3CDTF">2019-09-27T15:00:27Z</dcterms:created>
  <dcterms:modified xsi:type="dcterms:W3CDTF">2020-06-25T19:25:47Z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ortID">
    <vt:lpwstr>36521</vt:lpwstr>
  </property>
  <property fmtid="{D5CDD505-2E9C-101B-9397-08002B2CF9AE}" pid="3" name="ReportDescription">
    <vt:lpwstr>RDMS Forage Analysis Experiment "2019 Winter pea ALT samples from MO"</vt:lpwstr>
  </property>
  <property fmtid="{D5CDD505-2E9C-101B-9397-08002B2CF9AE}" pid="4" name="Username">
    <vt:lpwstr>sakrogman</vt:lpwstr>
  </property>
  <property fmtid="{D5CDD505-2E9C-101B-9397-08002B2CF9AE}" pid="5" name="DateRun">
    <vt:lpwstr>9/27/2019 10:00 AM</vt:lpwstr>
  </property>
</Properties>
</file>